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 Cruz\Documents\GitHub\Global-Electronics-Retail-Performace-Analysis\Global+Electronics+Retailer\Excel_Files\"/>
    </mc:Choice>
  </mc:AlternateContent>
  <xr:revisionPtr revIDLastSave="0" documentId="13_ncr:1_{AE5CAE03-3375-403B-AF2C-67669164EA76}" xr6:coauthVersionLast="47" xr6:coauthVersionMax="47" xr10:uidLastSave="{00000000-0000-0000-0000-000000000000}"/>
  <bookViews>
    <workbookView xWindow="-108" yWindow="-108" windowWidth="23256" windowHeight="12456" xr2:uid="{CAC95C2E-2B41-4FED-8B73-E3EFD4DDAC30}"/>
  </bookViews>
  <sheets>
    <sheet name="Forecast" sheetId="9" r:id="rId1"/>
    <sheet name="Assumptions" sheetId="10" r:id="rId2"/>
    <sheet name="Seasonality" sheetId="7" r:id="rId3"/>
    <sheet name="Forecast Sheet" sheetId="5" r:id="rId4"/>
    <sheet name="Data" sheetId="2" r:id="rId5"/>
  </sheets>
  <definedNames>
    <definedName name="ExternalData_1" localSheetId="4" hidden="1">Data!$A$4:$A$66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7" i="5" l="1"/>
  <c r="D96" i="5"/>
  <c r="C50" i="9"/>
  <c r="D50" i="9"/>
  <c r="E50" i="9"/>
  <c r="B50" i="9"/>
  <c r="E52" i="9"/>
  <c r="E53" i="9"/>
  <c r="E54" i="9"/>
  <c r="E55" i="9"/>
  <c r="E56" i="9"/>
  <c r="E57" i="9"/>
  <c r="E58" i="9"/>
  <c r="E59" i="9"/>
  <c r="E60" i="9"/>
  <c r="E61" i="9"/>
  <c r="E62" i="9"/>
  <c r="E51" i="9"/>
  <c r="D52" i="9"/>
  <c r="D53" i="9"/>
  <c r="D54" i="9"/>
  <c r="D55" i="9"/>
  <c r="D56" i="9"/>
  <c r="D57" i="9"/>
  <c r="D58" i="9"/>
  <c r="D59" i="9"/>
  <c r="D60" i="9"/>
  <c r="D61" i="9"/>
  <c r="D62" i="9"/>
  <c r="D51" i="9"/>
  <c r="C52" i="9"/>
  <c r="C53" i="9"/>
  <c r="C54" i="9"/>
  <c r="C55" i="9"/>
  <c r="C56" i="9"/>
  <c r="C57" i="9"/>
  <c r="C58" i="9"/>
  <c r="C59" i="9"/>
  <c r="C60" i="9"/>
  <c r="C61" i="9"/>
  <c r="C62" i="9"/>
  <c r="C51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7" i="9"/>
  <c r="A60" i="9"/>
  <c r="A61" i="9"/>
  <c r="A62" i="9"/>
  <c r="A52" i="9"/>
  <c r="A53" i="9"/>
  <c r="A54" i="9"/>
  <c r="A55" i="9"/>
  <c r="A56" i="9"/>
  <c r="A57" i="9"/>
  <c r="A58" i="9"/>
  <c r="A59" i="9"/>
  <c r="A51" i="9"/>
  <c r="A41" i="9"/>
  <c r="A42" i="9"/>
  <c r="A43" i="9"/>
  <c r="A44" i="9"/>
  <c r="A45" i="9"/>
  <c r="A46" i="9"/>
  <c r="A47" i="9"/>
  <c r="A48" i="9"/>
  <c r="A49" i="9"/>
  <c r="A50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27" i="9"/>
  <c r="E10" i="9"/>
  <c r="E11" i="9"/>
  <c r="E12" i="9"/>
  <c r="E13" i="9"/>
  <c r="E14" i="9"/>
  <c r="E9" i="9"/>
  <c r="D10" i="9"/>
  <c r="D13" i="9"/>
  <c r="D14" i="9"/>
  <c r="D15" i="9"/>
  <c r="D16" i="9"/>
  <c r="D17" i="9"/>
  <c r="D18" i="9"/>
  <c r="D9" i="9"/>
  <c r="C10" i="9"/>
  <c r="F10" i="9" s="1"/>
  <c r="C11" i="9"/>
  <c r="F11" i="9" s="1"/>
  <c r="C12" i="9"/>
  <c r="F12" i="9" s="1"/>
  <c r="C13" i="9"/>
  <c r="F13" i="9" s="1"/>
  <c r="C14" i="9"/>
  <c r="F14" i="9" s="1"/>
  <c r="C15" i="9"/>
  <c r="E15" i="9" s="1"/>
  <c r="C16" i="9"/>
  <c r="E16" i="9" s="1"/>
  <c r="C17" i="9"/>
  <c r="E17" i="9" s="1"/>
  <c r="C18" i="9"/>
  <c r="E18" i="9" s="1"/>
  <c r="C19" i="9"/>
  <c r="D19" i="9" s="1"/>
  <c r="C20" i="9"/>
  <c r="D20" i="9" s="1"/>
  <c r="C9" i="9"/>
  <c r="F9" i="9" s="1"/>
  <c r="C6" i="9"/>
  <c r="M22" i="7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N8" i="7"/>
  <c r="M8" i="7"/>
  <c r="K9" i="7"/>
  <c r="N9" i="7" s="1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11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5" i="7"/>
  <c r="B5" i="2"/>
  <c r="H10" i="5"/>
  <c r="C67" i="5"/>
  <c r="C68" i="5"/>
  <c r="H11" i="5"/>
  <c r="C69" i="5"/>
  <c r="C78" i="5"/>
  <c r="C70" i="5"/>
  <c r="C74" i="5"/>
  <c r="C72" i="5"/>
  <c r="C77" i="5"/>
  <c r="C73" i="5"/>
  <c r="H7" i="5"/>
  <c r="C75" i="5"/>
  <c r="C76" i="5"/>
  <c r="C71" i="5"/>
  <c r="H5" i="5"/>
  <c r="H6" i="5"/>
  <c r="H9" i="5"/>
  <c r="H8" i="5"/>
  <c r="C86" i="5" l="1"/>
  <c r="G13" i="9" s="1"/>
  <c r="C85" i="5"/>
  <c r="G12" i="9" s="1"/>
  <c r="C84" i="5"/>
  <c r="G11" i="9" s="1"/>
  <c r="C82" i="5"/>
  <c r="C93" i="5"/>
  <c r="G20" i="9" s="1"/>
  <c r="C92" i="5"/>
  <c r="G19" i="9" s="1"/>
  <c r="C91" i="5"/>
  <c r="G18" i="9" s="1"/>
  <c r="H18" i="9" s="1"/>
  <c r="C89" i="5"/>
  <c r="G16" i="9" s="1"/>
  <c r="H16" i="9" s="1"/>
  <c r="C83" i="5"/>
  <c r="G10" i="9" s="1"/>
  <c r="H10" i="9" s="1"/>
  <c r="C88" i="5"/>
  <c r="G15" i="9" s="1"/>
  <c r="H15" i="9" s="1"/>
  <c r="C90" i="5"/>
  <c r="G17" i="9" s="1"/>
  <c r="H17" i="9" s="1"/>
  <c r="C87" i="5"/>
  <c r="G14" i="9" s="1"/>
  <c r="H13" i="9"/>
  <c r="H12" i="9"/>
  <c r="H11" i="9"/>
  <c r="D12" i="9"/>
  <c r="F19" i="9"/>
  <c r="D11" i="9"/>
  <c r="D21" i="9" s="1"/>
  <c r="F18" i="9"/>
  <c r="F17" i="9"/>
  <c r="F16" i="9"/>
  <c r="F20" i="9"/>
  <c r="E20" i="9"/>
  <c r="H20" i="9" s="1"/>
  <c r="F15" i="9"/>
  <c r="F21" i="9" s="1"/>
  <c r="E19" i="9"/>
  <c r="E21" i="9"/>
  <c r="K10" i="7"/>
  <c r="M9" i="7"/>
  <c r="D75" i="5"/>
  <c r="D78" i="5"/>
  <c r="E70" i="5"/>
  <c r="E68" i="5"/>
  <c r="E75" i="5"/>
  <c r="D67" i="5"/>
  <c r="E73" i="5"/>
  <c r="E67" i="5"/>
  <c r="D70" i="5"/>
  <c r="E77" i="5"/>
  <c r="D71" i="5"/>
  <c r="E74" i="5"/>
  <c r="E72" i="5"/>
  <c r="D74" i="5"/>
  <c r="E78" i="5"/>
  <c r="D72" i="5"/>
  <c r="E69" i="5"/>
  <c r="E71" i="5"/>
  <c r="D69" i="5"/>
  <c r="D76" i="5"/>
  <c r="D73" i="5"/>
  <c r="D68" i="5"/>
  <c r="D77" i="5"/>
  <c r="E76" i="5"/>
  <c r="D91" i="5" l="1"/>
  <c r="B92" i="5"/>
  <c r="B83" i="5"/>
  <c r="B88" i="5"/>
  <c r="B91" i="5"/>
  <c r="B84" i="5"/>
  <c r="D86" i="5"/>
  <c r="D84" i="5"/>
  <c r="B87" i="5"/>
  <c r="D93" i="5"/>
  <c r="B89" i="5"/>
  <c r="D87" i="5"/>
  <c r="D89" i="5"/>
  <c r="B86" i="5"/>
  <c r="D92" i="5"/>
  <c r="B85" i="5"/>
  <c r="D82" i="5"/>
  <c r="D88" i="5"/>
  <c r="B82" i="5"/>
  <c r="D90" i="5"/>
  <c r="D83" i="5"/>
  <c r="D85" i="5"/>
  <c r="B93" i="5"/>
  <c r="B90" i="5"/>
  <c r="G9" i="9"/>
  <c r="H9" i="9" s="1"/>
  <c r="C94" i="5"/>
  <c r="G21" i="9"/>
  <c r="H14" i="9"/>
  <c r="H19" i="9"/>
  <c r="H21" i="9"/>
  <c r="K11" i="7"/>
  <c r="N10" i="7"/>
  <c r="M10" i="7"/>
  <c r="B94" i="5" l="1"/>
  <c r="D94" i="5"/>
  <c r="K12" i="7"/>
  <c r="N11" i="7"/>
  <c r="M11" i="7"/>
  <c r="K13" i="7" l="1"/>
  <c r="N12" i="7"/>
  <c r="M12" i="7"/>
  <c r="K14" i="7" l="1"/>
  <c r="N13" i="7"/>
  <c r="M13" i="7"/>
  <c r="K15" i="7" l="1"/>
  <c r="N14" i="7"/>
  <c r="M14" i="7"/>
  <c r="M15" i="7" l="1"/>
  <c r="N15" i="7"/>
  <c r="K16" i="7"/>
  <c r="M16" i="7" l="1"/>
  <c r="N16" i="7"/>
  <c r="K17" i="7"/>
  <c r="M17" i="7" l="1"/>
  <c r="N17" i="7"/>
  <c r="K18" i="7"/>
  <c r="M18" i="7" l="1"/>
  <c r="N18" i="7"/>
  <c r="K19" i="7"/>
  <c r="M19" i="7" l="1"/>
  <c r="N19" i="7"/>
  <c r="O16" i="7" s="1"/>
  <c r="K20" i="7"/>
  <c r="F25" i="7" l="1"/>
  <c r="G25" i="7" s="1"/>
  <c r="F13" i="7"/>
  <c r="G13" i="7" s="1"/>
  <c r="F61" i="7"/>
  <c r="G61" i="7" s="1"/>
  <c r="F49" i="7"/>
  <c r="G49" i="7" s="1"/>
  <c r="F37" i="7"/>
  <c r="G37" i="7" s="1"/>
  <c r="O19" i="7"/>
  <c r="O8" i="7"/>
  <c r="O9" i="7"/>
  <c r="O10" i="7"/>
  <c r="O11" i="7"/>
  <c r="O12" i="7"/>
  <c r="O13" i="7"/>
  <c r="O14" i="7"/>
  <c r="O15" i="7"/>
  <c r="O18" i="7"/>
  <c r="O17" i="7"/>
  <c r="F24" i="7" l="1"/>
  <c r="G24" i="7" s="1"/>
  <c r="F12" i="7"/>
  <c r="G12" i="7" s="1"/>
  <c r="F60" i="7"/>
  <c r="G60" i="7" s="1"/>
  <c r="F48" i="7"/>
  <c r="G48" i="7" s="1"/>
  <c r="F36" i="7"/>
  <c r="G36" i="7" s="1"/>
  <c r="F42" i="7"/>
  <c r="G42" i="7" s="1"/>
  <c r="F66" i="7"/>
  <c r="G66" i="7" s="1"/>
  <c r="F6" i="7"/>
  <c r="G6" i="7" s="1"/>
  <c r="F18" i="7"/>
  <c r="G18" i="7" s="1"/>
  <c r="F30" i="7"/>
  <c r="G30" i="7" s="1"/>
  <c r="F54" i="7"/>
  <c r="G54" i="7" s="1"/>
  <c r="F58" i="7"/>
  <c r="G58" i="7" s="1"/>
  <c r="F10" i="7"/>
  <c r="G10" i="7" s="1"/>
  <c r="F22" i="7"/>
  <c r="G22" i="7" s="1"/>
  <c r="F46" i="7"/>
  <c r="G46" i="7" s="1"/>
  <c r="F34" i="7"/>
  <c r="G34" i="7" s="1"/>
  <c r="F20" i="7"/>
  <c r="G20" i="7" s="1"/>
  <c r="F56" i="7"/>
  <c r="G56" i="7" s="1"/>
  <c r="F44" i="7"/>
  <c r="G44" i="7" s="1"/>
  <c r="F32" i="7"/>
  <c r="G32" i="7" s="1"/>
  <c r="F8" i="7"/>
  <c r="G8" i="7" s="1"/>
  <c r="F52" i="7"/>
  <c r="G52" i="7" s="1"/>
  <c r="F28" i="7"/>
  <c r="G28" i="7" s="1"/>
  <c r="F64" i="7"/>
  <c r="G64" i="7" s="1"/>
  <c r="F40" i="7"/>
  <c r="G40" i="7" s="1"/>
  <c r="F16" i="7"/>
  <c r="G16" i="7" s="1"/>
  <c r="F27" i="7"/>
  <c r="G27" i="7" s="1"/>
  <c r="F15" i="7"/>
  <c r="G15" i="7" s="1"/>
  <c r="F51" i="7"/>
  <c r="G51" i="7" s="1"/>
  <c r="F63" i="7"/>
  <c r="G63" i="7" s="1"/>
  <c r="F39" i="7"/>
  <c r="G39" i="7" s="1"/>
  <c r="F11" i="7"/>
  <c r="G11" i="7" s="1"/>
  <c r="F59" i="7"/>
  <c r="G59" i="7" s="1"/>
  <c r="F35" i="7"/>
  <c r="G35" i="7" s="1"/>
  <c r="F23" i="7"/>
  <c r="G23" i="7" s="1"/>
  <c r="F47" i="7"/>
  <c r="G47" i="7" s="1"/>
  <c r="F9" i="7"/>
  <c r="G9" i="7" s="1"/>
  <c r="F57" i="7"/>
  <c r="G57" i="7" s="1"/>
  <c r="F33" i="7"/>
  <c r="G33" i="7" s="1"/>
  <c r="F45" i="7"/>
  <c r="G45" i="7" s="1"/>
  <c r="F21" i="7"/>
  <c r="G21" i="7" s="1"/>
  <c r="F7" i="7"/>
  <c r="G7" i="7" s="1"/>
  <c r="F55" i="7"/>
  <c r="G55" i="7" s="1"/>
  <c r="F43" i="7"/>
  <c r="G43" i="7" s="1"/>
  <c r="F31" i="7"/>
  <c r="G31" i="7" s="1"/>
  <c r="F19" i="7"/>
  <c r="G19" i="7" s="1"/>
  <c r="F41" i="7"/>
  <c r="G41" i="7" s="1"/>
  <c r="F29" i="7"/>
  <c r="G29" i="7" s="1"/>
  <c r="F5" i="7"/>
  <c r="G5" i="7" s="1"/>
  <c r="F65" i="7"/>
  <c r="G65" i="7" s="1"/>
  <c r="F53" i="7"/>
  <c r="G53" i="7" s="1"/>
  <c r="F17" i="7"/>
  <c r="G17" i="7" s="1"/>
  <c r="F26" i="7"/>
  <c r="G26" i="7" s="1"/>
  <c r="F50" i="7"/>
  <c r="G50" i="7" s="1"/>
  <c r="F14" i="7"/>
  <c r="G14" i="7" s="1"/>
  <c r="F62" i="7"/>
  <c r="G62" i="7" s="1"/>
  <c r="F38" i="7"/>
  <c r="G38" i="7" s="1"/>
  <c r="O2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783205-169F-4348-9F11-645FDFBC37ED}" keepAlive="1" name="Query - ge vw_revenue_forecast" description="Connection to the 'ge vw_revenue_forecast' query in the workbook." type="5" refreshedVersion="8" background="1" saveData="1">
    <dbPr connection="Provider=Microsoft.Mashup.OleDb.1;Data Source=$Workbook$;Location=&quot;ge vw_revenue_forecast&quot;;Extended Properties=&quot;&quot;" command="SELECT * FROM [ge vw_revenue_forecast]"/>
  </connection>
</connections>
</file>

<file path=xl/sharedStrings.xml><?xml version="1.0" encoding="utf-8"?>
<sst xmlns="http://schemas.openxmlformats.org/spreadsheetml/2006/main" count="96" uniqueCount="79">
  <si>
    <t>Month</t>
  </si>
  <si>
    <t>Revenue</t>
  </si>
  <si>
    <t>MoM_Change_USD</t>
  </si>
  <si>
    <t>MoM_Change_%</t>
  </si>
  <si>
    <t>Percentage</t>
  </si>
  <si>
    <t>Series</t>
  </si>
  <si>
    <t>Timeline</t>
  </si>
  <si>
    <t>Values</t>
  </si>
  <si>
    <t>Forecast</t>
  </si>
  <si>
    <t>Lower Confidence Bound</t>
  </si>
  <si>
    <t>Upper Confidence Bound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</si>
  <si>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</si>
  <si>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</si>
  <si>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</si>
  <si>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</si>
  <si>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</si>
  <si>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</si>
  <si>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</si>
  <si>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</si>
  <si>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</si>
  <si>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Seasonal Model</t>
  </si>
  <si>
    <t>Seasonal Index = average of (revenue / centered 12-month average) for each calendar month.</t>
  </si>
  <si>
    <t>Month 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</si>
  <si>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</si>
  <si>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</si>
  <si>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</si>
  <si>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</si>
  <si>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</si>
  <si>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</si>
  <si>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</si>
  <si>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</si>
  <si>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</si>
  <si>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</si>
  <si>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</si>
  <si>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</si>
  <si>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Assumptions: </t>
  </si>
  <si>
    <t>Last month used to estimate seasonal indices</t>
  </si>
  <si>
    <t>Ratios Used</t>
  </si>
  <si>
    <t>Seasonal Index</t>
  </si>
  <si>
    <t>Check Sum:</t>
  </si>
  <si>
    <t>Deseasonalized
Revenue</t>
  </si>
  <si>
    <t>Centered 12-Month Average</t>
  </si>
  <si>
    <t>Seasonal Ratio</t>
  </si>
  <si>
    <t>Assumptions:</t>
  </si>
  <si>
    <t>1. The last month used to estimate indeces is July 2019, so that no 2020 data enters the seasonal trend.</t>
  </si>
  <si>
    <t>Forecast = seasonal index * deseasonalized level * (1 + monthly growth)^n</t>
  </si>
  <si>
    <t xml:space="preserve">Upper Bound: </t>
  </si>
  <si>
    <t xml:space="preserve">Lower Bound: </t>
  </si>
  <si>
    <t>See Assumptions tab</t>
  </si>
  <si>
    <t>n</t>
  </si>
  <si>
    <t>Original Forecast * Scale factor</t>
  </si>
  <si>
    <t>Forecast - Original</t>
  </si>
  <si>
    <t>Forecast Base:</t>
  </si>
  <si>
    <t xml:space="preserve">Current Level: </t>
  </si>
  <si>
    <t>2. The current revenue level is estimated as the average of the last 3 deseasonalized months, that is December 2020, January 2021, and February 2021.</t>
  </si>
  <si>
    <t>Last k months:</t>
  </si>
  <si>
    <t>Last month:</t>
  </si>
  <si>
    <t>Deseasonalized level:</t>
  </si>
  <si>
    <t>See Seasonality tab</t>
  </si>
  <si>
    <t>Lower Bound (USD)</t>
  </si>
  <si>
    <t>Forecast (USD)</t>
  </si>
  <si>
    <t>Upper Bound (USD)</t>
  </si>
  <si>
    <t>Total:</t>
  </si>
  <si>
    <t>Revenue Forecast: March 2021 to February 2022</t>
  </si>
  <si>
    <t>Chart: March 2019 to February 2022</t>
  </si>
  <si>
    <t>Values (USD)</t>
  </si>
  <si>
    <t>Total</t>
  </si>
  <si>
    <r>
      <rPr>
        <b/>
        <sz val="16"/>
        <color theme="1"/>
        <rFont val="Calibri"/>
        <family val="2"/>
        <scheme val="minor"/>
      </rPr>
      <t>Monthly Revenue:</t>
    </r>
    <r>
      <rPr>
        <sz val="16"/>
        <color theme="1"/>
        <rFont val="Calibri"/>
        <family val="2"/>
        <scheme val="minor"/>
      </rPr>
      <t xml:space="preserve"> January 2016 to February 2021</t>
    </r>
  </si>
  <si>
    <t>Average revenue for the Last 3 months (Dec 2020 - Feb 2021)</t>
  </si>
  <si>
    <t>Excel Forecast.ETS</t>
  </si>
  <si>
    <t>Here are the results using the built-in Excel forecast function.</t>
  </si>
  <si>
    <t>3. The growth rate returns to its pace similar to the year 2019, that is +3% a month.</t>
  </si>
  <si>
    <t>4. The 2020 declines continues at a milder rate than 2020,  that is -2% a month. A steeper decline can also be considered.</t>
  </si>
  <si>
    <t>5. The deseasonalized level persists (average of the last 3 months), with no recovery nor further decline.</t>
  </si>
  <si>
    <t>6. The 2016-2019 seasonal patterns still hold.</t>
  </si>
  <si>
    <t>Scale factor</t>
  </si>
  <si>
    <t>Average (Jan 2016 -Feb 2021)</t>
  </si>
  <si>
    <t>Reference: ge.vw_sales_products_fact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</si>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</sst>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mm\ yyyy"/>
    <numFmt numFmtId="166" formatCode="_-[$$-409]* #,##0_ ;_-[$$-409]* \-#,##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455A75"/>
        <bgColor theme="1"/>
      </patternFill>
    </fill>
    <fill>
      <patternFill patternType="solid">
        <fgColor rgb="FF455A75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rgb="FF455A75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2" fontId="0" fillId="0" borderId="0" xfId="0" applyNumberFormat="1"/>
    <xf numFmtId="0" fontId="0" fillId="0" borderId="3" xfId="0" applyBorder="1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7" xfId="0" applyBorder="1" applyAlignment="1">
      <alignment horizontal="left"/>
    </xf>
    <xf numFmtId="164" fontId="0" fillId="0" borderId="8" xfId="0" applyNumberFormat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/>
    <xf numFmtId="164" fontId="0" fillId="0" borderId="10" xfId="0" applyNumberFormat="1" applyBorder="1"/>
    <xf numFmtId="164" fontId="0" fillId="0" borderId="11" xfId="0" applyNumberFormat="1" applyBorder="1"/>
    <xf numFmtId="165" fontId="0" fillId="2" borderId="12" xfId="0" applyNumberFormat="1" applyFill="1" applyBorder="1"/>
    <xf numFmtId="165" fontId="0" fillId="0" borderId="12" xfId="0" applyNumberFormat="1" applyBorder="1"/>
    <xf numFmtId="165" fontId="0" fillId="0" borderId="13" xfId="0" applyNumberFormat="1" applyBorder="1"/>
    <xf numFmtId="0" fontId="7" fillId="0" borderId="0" xfId="0" applyFont="1"/>
    <xf numFmtId="0" fontId="5" fillId="0" borderId="0" xfId="0" applyFont="1"/>
    <xf numFmtId="2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6" fontId="0" fillId="0" borderId="0" xfId="0" applyNumberFormat="1"/>
    <xf numFmtId="165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166" fontId="0" fillId="0" borderId="10" xfId="0" applyNumberFormat="1" applyBorder="1"/>
    <xf numFmtId="166" fontId="5" fillId="0" borderId="0" xfId="0" applyNumberFormat="1" applyFont="1"/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8" fillId="0" borderId="0" xfId="0" applyFont="1" applyAlignment="1">
      <alignment horizontal="center"/>
    </xf>
    <xf numFmtId="0" fontId="9" fillId="0" borderId="0" xfId="0" applyFont="1"/>
    <xf numFmtId="166" fontId="8" fillId="0" borderId="0" xfId="0" applyNumberFormat="1" applyFont="1"/>
    <xf numFmtId="14" fontId="1" fillId="3" borderId="0" xfId="0" applyNumberFormat="1" applyFont="1" applyFill="1" applyAlignment="1">
      <alignment horizontal="center" vertical="center" wrapText="1"/>
    </xf>
    <xf numFmtId="165" fontId="0" fillId="2" borderId="14" xfId="0" applyNumberFormat="1" applyFill="1" applyBorder="1"/>
    <xf numFmtId="0" fontId="0" fillId="2" borderId="15" xfId="0" applyFill="1" applyBorder="1"/>
    <xf numFmtId="0" fontId="1" fillId="3" borderId="0" xfId="0" applyFont="1" applyFill="1" applyAlignment="1">
      <alignment horizontal="center" vertical="center"/>
    </xf>
    <xf numFmtId="14" fontId="1" fillId="3" borderId="4" xfId="0" applyNumberFormat="1" applyFont="1" applyFill="1" applyBorder="1" applyAlignment="1">
      <alignment vertical="center"/>
    </xf>
    <xf numFmtId="14" fontId="1" fillId="3" borderId="5" xfId="0" applyNumberFormat="1" applyFont="1" applyFill="1" applyBorder="1" applyAlignment="1">
      <alignment vertical="center"/>
    </xf>
    <xf numFmtId="14" fontId="1" fillId="3" borderId="6" xfId="0" applyNumberFormat="1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165" fontId="0" fillId="0" borderId="16" xfId="0" applyNumberFormat="1" applyBorder="1"/>
    <xf numFmtId="166" fontId="0" fillId="0" borderId="16" xfId="0" applyNumberFormat="1" applyBorder="1"/>
    <xf numFmtId="0" fontId="1" fillId="0" borderId="0" xfId="0" applyFont="1"/>
    <xf numFmtId="0" fontId="6" fillId="0" borderId="0" xfId="0" applyFont="1"/>
    <xf numFmtId="14" fontId="0" fillId="4" borderId="0" xfId="0" applyNumberFormat="1" applyFill="1"/>
    <xf numFmtId="14" fontId="7" fillId="0" borderId="0" xfId="0" applyNumberFormat="1" applyFont="1"/>
    <xf numFmtId="165" fontId="0" fillId="2" borderId="1" xfId="0" applyNumberFormat="1" applyFill="1" applyBorder="1"/>
    <xf numFmtId="165" fontId="0" fillId="0" borderId="3" xfId="0" applyNumberFormat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1"/>
          <bgColor rgb="FF455A75"/>
        </patternFill>
      </fill>
      <alignment horizontal="center" vertical="center" textRotation="0" wrapText="1" indent="0" justifyLastLine="0" shrinkToFit="0" readingOrder="0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5" formatCode="mmm\ yyyy"/>
    </dxf>
    <dxf>
      <numFmt numFmtId="165" formatCode="mmm\ 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455A75"/>
        </patternFill>
      </fill>
    </dxf>
    <dxf>
      <numFmt numFmtId="4" formatCode="#,##0.00"/>
    </dxf>
    <dxf>
      <fill>
        <patternFill patternType="solid">
          <fgColor indexed="64"/>
          <bgColor rgb="FF455A75"/>
        </patternFill>
      </fill>
    </dxf>
    <dxf>
      <numFmt numFmtId="2" formatCode="0.00"/>
    </dxf>
    <dxf>
      <numFmt numFmtId="2" formatCode="0.00"/>
    </dxf>
    <dxf>
      <fill>
        <patternFill patternType="solid">
          <fgColor indexed="64"/>
          <bgColor rgb="FF455A75"/>
        </patternFill>
      </fill>
    </dxf>
    <dxf>
      <numFmt numFmtId="2" formatCode="0.00"/>
    </dxf>
    <dxf>
      <numFmt numFmtId="164" formatCode="0.0000"/>
    </dxf>
    <dxf>
      <numFmt numFmtId="2" formatCode="0.00"/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5" formatCode="mmm\ yyyy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rgb="FF455A7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455A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Revenue Forecast: March 2019 - February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Forecast!$B$26</c:f>
              <c:strCache>
                <c:ptCount val="1"/>
                <c:pt idx="0">
                  <c:v>Values (USD)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Forecast!$A$27:$A$62</c:f>
              <c:numCache>
                <c:formatCode>mmm\ yyyy</c:formatCode>
                <c:ptCount val="36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  <c:pt idx="24">
                  <c:v>44256</c:v>
                </c:pt>
                <c:pt idx="25">
                  <c:v>44287</c:v>
                </c:pt>
                <c:pt idx="26">
                  <c:v>44317</c:v>
                </c:pt>
                <c:pt idx="27">
                  <c:v>44348</c:v>
                </c:pt>
                <c:pt idx="28">
                  <c:v>44378</c:v>
                </c:pt>
                <c:pt idx="29">
                  <c:v>44409</c:v>
                </c:pt>
                <c:pt idx="30">
                  <c:v>44440</c:v>
                </c:pt>
                <c:pt idx="31">
                  <c:v>44470</c:v>
                </c:pt>
                <c:pt idx="32">
                  <c:v>44501</c:v>
                </c:pt>
                <c:pt idx="33">
                  <c:v>44531</c:v>
                </c:pt>
                <c:pt idx="34">
                  <c:v>44562</c:v>
                </c:pt>
                <c:pt idx="35">
                  <c:v>44593</c:v>
                </c:pt>
              </c:numCache>
            </c:numRef>
          </c:cat>
          <c:val>
            <c:numRef>
              <c:f>Forecast!$B$27:$B$62</c:f>
              <c:numCache>
                <c:formatCode>_-[$$-409]* #,##0_ ;_-[$$-409]* \-#,##0\ ;_-[$$-409]* "-"??_ ;_-@_ </c:formatCode>
                <c:ptCount val="36"/>
                <c:pt idx="0">
                  <c:v>845925.09</c:v>
                </c:pt>
                <c:pt idx="1">
                  <c:v>149892.71</c:v>
                </c:pt>
                <c:pt idx="2">
                  <c:v>1594446.47</c:v>
                </c:pt>
                <c:pt idx="3">
                  <c:v>1404861.4</c:v>
                </c:pt>
                <c:pt idx="4">
                  <c:v>1408714.62</c:v>
                </c:pt>
                <c:pt idx="5">
                  <c:v>1500784.77</c:v>
                </c:pt>
                <c:pt idx="6">
                  <c:v>1547870.73</c:v>
                </c:pt>
                <c:pt idx="7">
                  <c:v>1575168.82</c:v>
                </c:pt>
                <c:pt idx="8">
                  <c:v>1715659.88</c:v>
                </c:pt>
                <c:pt idx="9">
                  <c:v>2477295.85</c:v>
                </c:pt>
                <c:pt idx="10">
                  <c:v>2068951.12</c:v>
                </c:pt>
                <c:pt idx="11">
                  <c:v>2227379.5699999998</c:v>
                </c:pt>
                <c:pt idx="12">
                  <c:v>674990.66</c:v>
                </c:pt>
                <c:pt idx="13">
                  <c:v>217642.1</c:v>
                </c:pt>
                <c:pt idx="14">
                  <c:v>878026.63</c:v>
                </c:pt>
                <c:pt idx="15">
                  <c:v>763883.23</c:v>
                </c:pt>
                <c:pt idx="16">
                  <c:v>512805.18</c:v>
                </c:pt>
                <c:pt idx="17">
                  <c:v>416647.08</c:v>
                </c:pt>
                <c:pt idx="18">
                  <c:v>380431.52</c:v>
                </c:pt>
                <c:pt idx="19">
                  <c:v>245647.59</c:v>
                </c:pt>
                <c:pt idx="20">
                  <c:v>256701.02</c:v>
                </c:pt>
                <c:pt idx="21">
                  <c:v>651526.43999999994</c:v>
                </c:pt>
                <c:pt idx="22">
                  <c:v>513021.58</c:v>
                </c:pt>
                <c:pt idx="23">
                  <c:v>526266.9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E-4328-B9F9-7A6E69743EF3}"/>
            </c:ext>
          </c:extLst>
        </c:ser>
        <c:ser>
          <c:idx val="1"/>
          <c:order val="1"/>
          <c:tx>
            <c:strRef>
              <c:f>Forecast!$C$26</c:f>
              <c:strCache>
                <c:ptCount val="1"/>
                <c:pt idx="0">
                  <c:v>Forecast (USD)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Forecast!$A$27:$A$62</c:f>
              <c:numCache>
                <c:formatCode>mmm\ yyyy</c:formatCode>
                <c:ptCount val="36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  <c:pt idx="24">
                  <c:v>44256</c:v>
                </c:pt>
                <c:pt idx="25">
                  <c:v>44287</c:v>
                </c:pt>
                <c:pt idx="26">
                  <c:v>44317</c:v>
                </c:pt>
                <c:pt idx="27">
                  <c:v>44348</c:v>
                </c:pt>
                <c:pt idx="28">
                  <c:v>44378</c:v>
                </c:pt>
                <c:pt idx="29">
                  <c:v>44409</c:v>
                </c:pt>
                <c:pt idx="30">
                  <c:v>44440</c:v>
                </c:pt>
                <c:pt idx="31">
                  <c:v>44470</c:v>
                </c:pt>
                <c:pt idx="32">
                  <c:v>44501</c:v>
                </c:pt>
                <c:pt idx="33">
                  <c:v>44531</c:v>
                </c:pt>
                <c:pt idx="34">
                  <c:v>44562</c:v>
                </c:pt>
                <c:pt idx="35">
                  <c:v>44593</c:v>
                </c:pt>
              </c:numCache>
            </c:numRef>
          </c:cat>
          <c:val>
            <c:numRef>
              <c:f>Forecast!$C$27:$C$62</c:f>
              <c:numCache>
                <c:formatCode>General</c:formatCode>
                <c:ptCount val="36"/>
                <c:pt idx="23" formatCode="_-[$$-409]* #,##0_ ;_-[$$-409]* \-#,##0\ ;_-[$$-409]* &quot;-&quot;??_ ;_-@_ ">
                  <c:v>526266.9</c:v>
                </c:pt>
                <c:pt idx="24" formatCode="_-[$$-409]* #,##0_ ;_-[$$-409]* \-#,##0\ ;_-[$$-409]* &quot;-&quot;??_ ;_-@_ ">
                  <c:v>212673.66973252312</c:v>
                </c:pt>
                <c:pt idx="25" formatCode="_-[$$-409]* #,##0_ ;_-[$$-409]* \-#,##0\ ;_-[$$-409]* &quot;-&quot;??_ ;_-@_ ">
                  <c:v>35783.668289926347</c:v>
                </c:pt>
                <c:pt idx="26" formatCode="_-[$$-409]* #,##0_ ;_-[$$-409]* \-#,##0\ ;_-[$$-409]* &quot;-&quot;??_ ;_-@_ ">
                  <c:v>412911.30980607617</c:v>
                </c:pt>
                <c:pt idx="27" formatCode="_-[$$-409]* #,##0_ ;_-[$$-409]* \-#,##0\ ;_-[$$-409]* &quot;-&quot;??_ ;_-@_ ">
                  <c:v>373374.74492059241</c:v>
                </c:pt>
                <c:pt idx="28" formatCode="_-[$$-409]* #,##0_ ;_-[$$-409]* \-#,##0\ ;_-[$$-409]* &quot;-&quot;??_ ;_-@_ ">
                  <c:v>325409.10165784619</c:v>
                </c:pt>
                <c:pt idx="29" formatCode="_-[$$-409]* #,##0_ ;_-[$$-409]* \-#,##0\ ;_-[$$-409]* &quot;-&quot;??_ ;_-@_ ">
                  <c:v>347372.74674904719</c:v>
                </c:pt>
                <c:pt idx="30" formatCode="_-[$$-409]* #,##0_ ;_-[$$-409]* \-#,##0\ ;_-[$$-409]* &quot;-&quot;??_ ;_-@_ ">
                  <c:v>377250.26702984498</c:v>
                </c:pt>
                <c:pt idx="31" formatCode="_-[$$-409]* #,##0_ ;_-[$$-409]* \-#,##0\ ;_-[$$-409]* &quot;-&quot;??_ ;_-@_ ">
                  <c:v>383224.08813509048</c:v>
                </c:pt>
                <c:pt idx="32" formatCode="_-[$$-409]* #,##0_ ;_-[$$-409]* \-#,##0\ ;_-[$$-409]* &quot;-&quot;??_ ;_-@_ ">
                  <c:v>412346.58768711612</c:v>
                </c:pt>
                <c:pt idx="33" formatCode="_-[$$-409]* #,##0_ ;_-[$$-409]* \-#,##0\ ;_-[$$-409]* &quot;-&quot;??_ ;_-@_ ">
                  <c:v>645808.24506120617</c:v>
                </c:pt>
                <c:pt idx="34" formatCode="_-[$$-409]* #,##0_ ;_-[$$-409]* \-#,##0\ ;_-[$$-409]* &quot;-&quot;??_ ;_-@_ ">
                  <c:v>481790.56722703902</c:v>
                </c:pt>
                <c:pt idx="35" formatCode="_-[$$-409]* #,##0_ ;_-[$$-409]* \-#,##0\ ;_-[$$-409]* &quot;-&quot;??_ ;_-@_ ">
                  <c:v>568124.69198132423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E-4328-B9F9-7A6E69743EF3}"/>
            </c:ext>
          </c:extLst>
        </c:ser>
        <c:ser>
          <c:idx val="2"/>
          <c:order val="2"/>
          <c:tx>
            <c:strRef>
              <c:f>Forecast!$D$26</c:f>
              <c:strCache>
                <c:ptCount val="1"/>
                <c:pt idx="0">
                  <c:v>Lower Bound (USD)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Forecast!$A$27:$A$62</c:f>
              <c:numCache>
                <c:formatCode>mmm\ yyyy</c:formatCode>
                <c:ptCount val="36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  <c:pt idx="24">
                  <c:v>44256</c:v>
                </c:pt>
                <c:pt idx="25">
                  <c:v>44287</c:v>
                </c:pt>
                <c:pt idx="26">
                  <c:v>44317</c:v>
                </c:pt>
                <c:pt idx="27">
                  <c:v>44348</c:v>
                </c:pt>
                <c:pt idx="28">
                  <c:v>44378</c:v>
                </c:pt>
                <c:pt idx="29">
                  <c:v>44409</c:v>
                </c:pt>
                <c:pt idx="30">
                  <c:v>44440</c:v>
                </c:pt>
                <c:pt idx="31">
                  <c:v>44470</c:v>
                </c:pt>
                <c:pt idx="32">
                  <c:v>44501</c:v>
                </c:pt>
                <c:pt idx="33">
                  <c:v>44531</c:v>
                </c:pt>
                <c:pt idx="34">
                  <c:v>44562</c:v>
                </c:pt>
                <c:pt idx="35">
                  <c:v>44593</c:v>
                </c:pt>
              </c:numCache>
            </c:numRef>
          </c:cat>
          <c:val>
            <c:numRef>
              <c:f>Forecast!$D$27:$D$62</c:f>
              <c:numCache>
                <c:formatCode>General</c:formatCode>
                <c:ptCount val="36"/>
                <c:pt idx="23" formatCode="_-[$$-409]* #,##0_ ;_-[$$-409]* \-#,##0\ ;_-[$$-409]* &quot;-&quot;??_ ;_-@_ ">
                  <c:v>526266.9</c:v>
                </c:pt>
                <c:pt idx="24" formatCode="_-[$$-409]* #,##0_ ;_-[$$-409]* \-#,##0\ ;_-[$$-409]* &quot;-&quot;??_ ;_-@_ ">
                  <c:v>208420.19633787265</c:v>
                </c:pt>
                <c:pt idx="25" formatCode="_-[$$-409]* #,##0_ ;_-[$$-409]* \-#,##0\ ;_-[$$-409]* &quot;-&quot;??_ ;_-@_ ">
                  <c:v>34366.635025645264</c:v>
                </c:pt>
                <c:pt idx="26" formatCode="_-[$$-409]* #,##0_ ;_-[$$-409]* \-#,##0\ ;_-[$$-409]* &quot;-&quot;??_ ;_-@_ ">
                  <c:v>388628.82149900042</c:v>
                </c:pt>
                <c:pt idx="27" formatCode="_-[$$-409]* #,##0_ ;_-[$$-409]* \-#,##0\ ;_-[$$-409]* &quot;-&quot;??_ ;_-@_ ">
                  <c:v>344388.97646287613</c:v>
                </c:pt>
                <c:pt idx="28" formatCode="_-[$$-409]* #,##0_ ;_-[$$-409]* \-#,##0\ ;_-[$$-409]* &quot;-&quot;??_ ;_-@_ ">
                  <c:v>294144.05445653247</c:v>
                </c:pt>
                <c:pt idx="29" formatCode="_-[$$-409]* #,##0_ ;_-[$$-409]* \-#,##0\ ;_-[$$-409]* &quot;-&quot;??_ ;_-@_ ">
                  <c:v>307717.50102744321</c:v>
                </c:pt>
                <c:pt idx="30" formatCode="_-[$$-409]* #,##0_ ;_-[$$-409]* \-#,##0\ ;_-[$$-409]* &quot;-&quot;??_ ;_-@_ ">
                  <c:v>327500.58923275163</c:v>
                </c:pt>
                <c:pt idx="31" formatCode="_-[$$-409]* #,##0_ ;_-[$$-409]* \-#,##0\ ;_-[$$-409]* &quot;-&quot;??_ ;_-@_ ">
                  <c:v>326032.8835479581</c:v>
                </c:pt>
                <c:pt idx="32" formatCode="_-[$$-409]* #,##0_ ;_-[$$-409]* \-#,##0\ ;_-[$$-409]* &quot;-&quot;??_ ;_-@_ ">
                  <c:v>343793.04470613657</c:v>
                </c:pt>
                <c:pt idx="33" formatCode="_-[$$-409]* #,##0_ ;_-[$$-409]* \-#,##0\ ;_-[$$-409]* &quot;-&quot;??_ ;_-@_ ">
                  <c:v>527672.3555032803</c:v>
                </c:pt>
                <c:pt idx="34" formatCode="_-[$$-409]* #,##0_ ;_-[$$-409]* \-#,##0\ ;_-[$$-409]* &quot;-&quot;??_ ;_-@_ ">
                  <c:v>385784.81167421717</c:v>
                </c:pt>
                <c:pt idx="35" formatCode="_-[$$-409]* #,##0_ ;_-[$$-409]* \-#,##0\ ;_-[$$-409]* &quot;-&quot;??_ ;_-@_ ">
                  <c:v>445816.94696442701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E-4328-B9F9-7A6E69743EF3}"/>
            </c:ext>
          </c:extLst>
        </c:ser>
        <c:ser>
          <c:idx val="3"/>
          <c:order val="3"/>
          <c:tx>
            <c:strRef>
              <c:f>Forecast!$E$26</c:f>
              <c:strCache>
                <c:ptCount val="1"/>
                <c:pt idx="0">
                  <c:v>Upper Bound (USD)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Forecast!$A$27:$A$62</c:f>
              <c:numCache>
                <c:formatCode>mmm\ yyyy</c:formatCode>
                <c:ptCount val="36"/>
                <c:pt idx="0">
                  <c:v>43525</c:v>
                </c:pt>
                <c:pt idx="1">
                  <c:v>43556</c:v>
                </c:pt>
                <c:pt idx="2">
                  <c:v>43586</c:v>
                </c:pt>
                <c:pt idx="3">
                  <c:v>43617</c:v>
                </c:pt>
                <c:pt idx="4">
                  <c:v>43647</c:v>
                </c:pt>
                <c:pt idx="5">
                  <c:v>43678</c:v>
                </c:pt>
                <c:pt idx="6">
                  <c:v>43709</c:v>
                </c:pt>
                <c:pt idx="7">
                  <c:v>43739</c:v>
                </c:pt>
                <c:pt idx="8">
                  <c:v>43770</c:v>
                </c:pt>
                <c:pt idx="9">
                  <c:v>43800</c:v>
                </c:pt>
                <c:pt idx="10">
                  <c:v>43831</c:v>
                </c:pt>
                <c:pt idx="11">
                  <c:v>43862</c:v>
                </c:pt>
                <c:pt idx="12">
                  <c:v>43891</c:v>
                </c:pt>
                <c:pt idx="13">
                  <c:v>43922</c:v>
                </c:pt>
                <c:pt idx="14">
                  <c:v>43952</c:v>
                </c:pt>
                <c:pt idx="15">
                  <c:v>43983</c:v>
                </c:pt>
                <c:pt idx="16">
                  <c:v>44013</c:v>
                </c:pt>
                <c:pt idx="17">
                  <c:v>44044</c:v>
                </c:pt>
                <c:pt idx="18">
                  <c:v>44075</c:v>
                </c:pt>
                <c:pt idx="19">
                  <c:v>44105</c:v>
                </c:pt>
                <c:pt idx="20">
                  <c:v>44136</c:v>
                </c:pt>
                <c:pt idx="21">
                  <c:v>44166</c:v>
                </c:pt>
                <c:pt idx="22">
                  <c:v>44197</c:v>
                </c:pt>
                <c:pt idx="23">
                  <c:v>44228</c:v>
                </c:pt>
                <c:pt idx="24">
                  <c:v>44256</c:v>
                </c:pt>
                <c:pt idx="25">
                  <c:v>44287</c:v>
                </c:pt>
                <c:pt idx="26">
                  <c:v>44317</c:v>
                </c:pt>
                <c:pt idx="27">
                  <c:v>44348</c:v>
                </c:pt>
                <c:pt idx="28">
                  <c:v>44378</c:v>
                </c:pt>
                <c:pt idx="29">
                  <c:v>44409</c:v>
                </c:pt>
                <c:pt idx="30">
                  <c:v>44440</c:v>
                </c:pt>
                <c:pt idx="31">
                  <c:v>44470</c:v>
                </c:pt>
                <c:pt idx="32">
                  <c:v>44501</c:v>
                </c:pt>
                <c:pt idx="33">
                  <c:v>44531</c:v>
                </c:pt>
                <c:pt idx="34">
                  <c:v>44562</c:v>
                </c:pt>
                <c:pt idx="35">
                  <c:v>44593</c:v>
                </c:pt>
              </c:numCache>
            </c:numRef>
          </c:cat>
          <c:val>
            <c:numRef>
              <c:f>Forecast!$E$27:$E$62</c:f>
              <c:numCache>
                <c:formatCode>General</c:formatCode>
                <c:ptCount val="36"/>
                <c:pt idx="23" formatCode="_-[$$-409]* #,##0_ ;_-[$$-409]* \-#,##0\ ;_-[$$-409]* &quot;-&quot;??_ ;_-@_ ">
                  <c:v>526266.9</c:v>
                </c:pt>
                <c:pt idx="24" formatCode="_-[$$-409]* #,##0_ ;_-[$$-409]* \-#,##0\ ;_-[$$-409]* &quot;-&quot;??_ ;_-@_ ">
                  <c:v>219053.87982449881</c:v>
                </c:pt>
                <c:pt idx="25" formatCode="_-[$$-409]* #,##0_ ;_-[$$-409]* \-#,##0\ ;_-[$$-409]* &quot;-&quot;??_ ;_-@_ ">
                  <c:v>37962.89368878286</c:v>
                </c:pt>
                <c:pt idx="26" formatCode="_-[$$-409]* #,##0_ ;_-[$$-409]* \-#,##0\ ;_-[$$-409]* &quot;-&quot;??_ ;_-@_ ">
                  <c:v>451199.33683046419</c:v>
                </c:pt>
                <c:pt idx="27" formatCode="_-[$$-409]* #,##0_ ;_-[$$-409]* \-#,##0\ ;_-[$$-409]* &quot;-&quot;??_ ;_-@_ ">
                  <c:v>420236.56483962946</c:v>
                </c:pt>
                <c:pt idx="28" formatCode="_-[$$-409]* #,##0_ ;_-[$$-409]* \-#,##0\ ;_-[$$-409]* &quot;-&quot;??_ ;_-@_ ">
                  <c:v>377238.33509319421</c:v>
                </c:pt>
                <c:pt idx="29" formatCode="_-[$$-409]* #,##0_ ;_-[$$-409]* \-#,##0\ ;_-[$$-409]* &quot;-&quot;??_ ;_-@_ ">
                  <c:v>414781.22600728646</c:v>
                </c:pt>
                <c:pt idx="30" formatCode="_-[$$-409]* #,##0_ ;_-[$$-409]* \-#,##0\ ;_-[$$-409]* &quot;-&quot;??_ ;_-@_ ">
                  <c:v>463970.24414455984</c:v>
                </c:pt>
                <c:pt idx="31" formatCode="_-[$$-409]* #,##0_ ;_-[$$-409]* \-#,##0\ ;_-[$$-409]* &quot;-&quot;??_ ;_-@_ ">
                  <c:v>485456.80931658344</c:v>
                </c:pt>
                <c:pt idx="32" formatCode="_-[$$-409]* #,##0_ ;_-[$$-409]* \-#,##0\ ;_-[$$-409]* &quot;-&quot;??_ ;_-@_ ">
                  <c:v>538018.77005764318</c:v>
                </c:pt>
                <c:pt idx="33" formatCode="_-[$$-409]* #,##0_ ;_-[$$-409]* \-#,##0\ ;_-[$$-409]* &quot;-&quot;??_ ;_-@_ ">
                  <c:v>867912.27845323749</c:v>
                </c:pt>
                <c:pt idx="34" formatCode="_-[$$-409]* #,##0_ ;_-[$$-409]* \-#,##0\ ;_-[$$-409]* &quot;-&quot;??_ ;_-@_ ">
                  <c:v>666910.82175121037</c:v>
                </c:pt>
                <c:pt idx="35" formatCode="_-[$$-409]* #,##0_ ;_-[$$-409]* \-#,##0\ ;_-[$$-409]* &quot;-&quot;??_ ;_-@_ ">
                  <c:v>810009.96467850485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E-4328-B9F9-7A6E6974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064927"/>
        <c:axId val="1150065407"/>
      </c:lineChart>
      <c:dateAx>
        <c:axId val="1150064927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5407"/>
        <c:crosses val="autoZero"/>
        <c:auto val="1"/>
        <c:lblOffset val="100"/>
        <c:baseTimeUnit val="months"/>
      </c:dateAx>
      <c:valAx>
        <c:axId val="11500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Sheet'!$B$4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Sheet'!$B$5:$B$78</c:f>
              <c:numCache>
                <c:formatCode>General</c:formatCode>
                <c:ptCount val="74"/>
                <c:pt idx="0">
                  <c:v>649918.78</c:v>
                </c:pt>
                <c:pt idx="1">
                  <c:v>891098.3</c:v>
                </c:pt>
                <c:pt idx="2">
                  <c:v>338407.36</c:v>
                </c:pt>
                <c:pt idx="3">
                  <c:v>110591.63</c:v>
                </c:pt>
                <c:pt idx="4">
                  <c:v>595986.18000000005</c:v>
                </c:pt>
                <c:pt idx="5">
                  <c:v>518585.28</c:v>
                </c:pt>
                <c:pt idx="6">
                  <c:v>454959.83</c:v>
                </c:pt>
                <c:pt idx="7">
                  <c:v>547512.68999999994</c:v>
                </c:pt>
                <c:pt idx="8">
                  <c:v>567421.12</c:v>
                </c:pt>
                <c:pt idx="9">
                  <c:v>623959.56999999995</c:v>
                </c:pt>
                <c:pt idx="10">
                  <c:v>649949.36</c:v>
                </c:pt>
                <c:pt idx="11">
                  <c:v>998403.46</c:v>
                </c:pt>
                <c:pt idx="12">
                  <c:v>670114.80000000005</c:v>
                </c:pt>
                <c:pt idx="13">
                  <c:v>750526.19</c:v>
                </c:pt>
                <c:pt idx="14">
                  <c:v>331248.59000000003</c:v>
                </c:pt>
                <c:pt idx="15">
                  <c:v>58580.07</c:v>
                </c:pt>
                <c:pt idx="16">
                  <c:v>616258.96</c:v>
                </c:pt>
                <c:pt idx="17">
                  <c:v>631731.30000000005</c:v>
                </c:pt>
                <c:pt idx="18">
                  <c:v>511786.72</c:v>
                </c:pt>
                <c:pt idx="19">
                  <c:v>593379.05000000005</c:v>
                </c:pt>
                <c:pt idx="20">
                  <c:v>686375.1</c:v>
                </c:pt>
                <c:pt idx="21">
                  <c:v>628521.43000000005</c:v>
                </c:pt>
                <c:pt idx="22">
                  <c:v>655722.99</c:v>
                </c:pt>
                <c:pt idx="23">
                  <c:v>1287177.07</c:v>
                </c:pt>
                <c:pt idx="24">
                  <c:v>917075.35</c:v>
                </c:pt>
                <c:pt idx="25">
                  <c:v>1344342.7</c:v>
                </c:pt>
                <c:pt idx="26">
                  <c:v>434951.15</c:v>
                </c:pt>
                <c:pt idx="27">
                  <c:v>70627.539999999994</c:v>
                </c:pt>
                <c:pt idx="28">
                  <c:v>1073265.56</c:v>
                </c:pt>
                <c:pt idx="29">
                  <c:v>973975.33</c:v>
                </c:pt>
                <c:pt idx="30">
                  <c:v>964149.46</c:v>
                </c:pt>
                <c:pt idx="31">
                  <c:v>1026845.73</c:v>
                </c:pt>
                <c:pt idx="32">
                  <c:v>1181765.1399999999</c:v>
                </c:pt>
                <c:pt idx="33">
                  <c:v>1241730.03</c:v>
                </c:pt>
                <c:pt idx="34">
                  <c:v>1478026.63</c:v>
                </c:pt>
                <c:pt idx="35">
                  <c:v>2082206.04</c:v>
                </c:pt>
                <c:pt idx="36">
                  <c:v>1940899.57</c:v>
                </c:pt>
                <c:pt idx="37">
                  <c:v>2102862.5699999998</c:v>
                </c:pt>
                <c:pt idx="38">
                  <c:v>845925.09</c:v>
                </c:pt>
                <c:pt idx="39">
                  <c:v>149892.71</c:v>
                </c:pt>
                <c:pt idx="40">
                  <c:v>1594446.47</c:v>
                </c:pt>
                <c:pt idx="41">
                  <c:v>1404861.4</c:v>
                </c:pt>
                <c:pt idx="42">
                  <c:v>1408714.62</c:v>
                </c:pt>
                <c:pt idx="43">
                  <c:v>1500784.77</c:v>
                </c:pt>
                <c:pt idx="44">
                  <c:v>1547870.73</c:v>
                </c:pt>
                <c:pt idx="45">
                  <c:v>1575168.82</c:v>
                </c:pt>
                <c:pt idx="46">
                  <c:v>1715659.88</c:v>
                </c:pt>
                <c:pt idx="47">
                  <c:v>2477295.85</c:v>
                </c:pt>
                <c:pt idx="48">
                  <c:v>2068951.12</c:v>
                </c:pt>
                <c:pt idx="49">
                  <c:v>2227379.5699999998</c:v>
                </c:pt>
                <c:pt idx="50">
                  <c:v>674990.66</c:v>
                </c:pt>
                <c:pt idx="51">
                  <c:v>217642.1</c:v>
                </c:pt>
                <c:pt idx="52">
                  <c:v>878026.63</c:v>
                </c:pt>
                <c:pt idx="53">
                  <c:v>763883.23</c:v>
                </c:pt>
                <c:pt idx="54">
                  <c:v>512805.18</c:v>
                </c:pt>
                <c:pt idx="55">
                  <c:v>416647.08</c:v>
                </c:pt>
                <c:pt idx="56">
                  <c:v>380431.52</c:v>
                </c:pt>
                <c:pt idx="57">
                  <c:v>245647.59</c:v>
                </c:pt>
                <c:pt idx="58">
                  <c:v>256701.02</c:v>
                </c:pt>
                <c:pt idx="59">
                  <c:v>651526.43999999994</c:v>
                </c:pt>
                <c:pt idx="60">
                  <c:v>513021.58</c:v>
                </c:pt>
                <c:pt idx="61">
                  <c:v>526266.9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E-46F4-8546-57FE82445F2A}"/>
            </c:ext>
          </c:extLst>
        </c:ser>
        <c:ser>
          <c:idx val="1"/>
          <c:order val="1"/>
          <c:tx>
            <c:strRef>
              <c:f>'Forecast Sheet'!$C$4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Sheet'!$A$5:$A$78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cat>
          <c:val>
            <c:numRef>
              <c:f>'Forecast Sheet'!$C$5:$C$78</c:f>
              <c:numCache>
                <c:formatCode>General</c:formatCode>
                <c:ptCount val="74"/>
                <c:pt idx="61">
                  <c:v>526266.9</c:v>
                </c:pt>
                <c:pt idx="62">
                  <c:v>1218834.3721551797</c:v>
                </c:pt>
                <c:pt idx="63">
                  <c:v>1228354.6653142003</c:v>
                </c:pt>
                <c:pt idx="64">
                  <c:v>1237874.9584732198</c:v>
                </c:pt>
                <c:pt idx="65">
                  <c:v>1247395.2516322404</c:v>
                </c:pt>
                <c:pt idx="66">
                  <c:v>1256915.54479126</c:v>
                </c:pt>
                <c:pt idx="67">
                  <c:v>1266435.8379502806</c:v>
                </c:pt>
                <c:pt idx="68">
                  <c:v>1275956.1311093003</c:v>
                </c:pt>
                <c:pt idx="69">
                  <c:v>1285476.4242683207</c:v>
                </c:pt>
                <c:pt idx="70">
                  <c:v>1294996.7174273403</c:v>
                </c:pt>
                <c:pt idx="71">
                  <c:v>1304517.0105863609</c:v>
                </c:pt>
                <c:pt idx="72">
                  <c:v>1314037.3037453806</c:v>
                </c:pt>
                <c:pt idx="73">
                  <c:v>1323557.5969044012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E-46F4-8546-57FE82445F2A}"/>
            </c:ext>
          </c:extLst>
        </c:ser>
        <c:ser>
          <c:idx val="2"/>
          <c:order val="2"/>
          <c:tx>
            <c:strRef>
              <c:f>'Forecast Sheet'!$D$4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Sheet'!$A$5:$A$78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cat>
          <c:val>
            <c:numRef>
              <c:f>'Forecast Sheet'!$D$5:$D$78</c:f>
              <c:numCache>
                <c:formatCode>General</c:formatCode>
                <c:ptCount val="74"/>
                <c:pt idx="61" formatCode="0.00">
                  <c:v>526266.9</c:v>
                </c:pt>
                <c:pt idx="62" formatCode="0.00">
                  <c:v>85934.483010561438</c:v>
                </c:pt>
                <c:pt idx="63" formatCode="0.00">
                  <c:v>95449.678131551482</c:v>
                </c:pt>
                <c:pt idx="64" formatCode="0.00">
                  <c:v>104960.90816849377</c:v>
                </c:pt>
                <c:pt idx="65" formatCode="0.00">
                  <c:v>114467.04034441593</c:v>
                </c:pt>
                <c:pt idx="66" formatCode="0.00">
                  <c:v>123966.94199872948</c:v>
                </c:pt>
                <c:pt idx="67" formatCode="0.00">
                  <c:v>133459.48064385843</c:v>
                </c:pt>
                <c:pt idx="68" formatCode="0.00">
                  <c:v>142943.52403315017</c:v>
                </c:pt>
                <c:pt idx="69" formatCode="0.00">
                  <c:v>152417.94024008699</c:v>
                </c:pt>
                <c:pt idx="70" formatCode="0.00">
                  <c:v>161881.59774874314</c:v>
                </c:pt>
                <c:pt idx="71" formatCode="0.00">
                  <c:v>171333.36555548618</c:v>
                </c:pt>
                <c:pt idx="72" formatCode="0.00">
                  <c:v>180772.11328185559</c:v>
                </c:pt>
                <c:pt idx="73" formatCode="0.00">
                  <c:v>190196.71129859774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FE-46F4-8546-57FE82445F2A}"/>
            </c:ext>
          </c:extLst>
        </c:ser>
        <c:ser>
          <c:idx val="3"/>
          <c:order val="3"/>
          <c:tx>
            <c:strRef>
              <c:f>'Forecast Sheet'!$E$4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Sheet'!$A$5:$A$78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cat>
          <c:val>
            <c:numRef>
              <c:f>'Forecast Sheet'!$E$5:$E$78</c:f>
              <c:numCache>
                <c:formatCode>General</c:formatCode>
                <c:ptCount val="74"/>
                <c:pt idx="61" formatCode="0.00">
                  <c:v>526266.9</c:v>
                </c:pt>
                <c:pt idx="62" formatCode="0.00">
                  <c:v>2351734.2612997983</c:v>
                </c:pt>
                <c:pt idx="63" formatCode="0.00">
                  <c:v>2361259.6524968492</c:v>
                </c:pt>
                <c:pt idx="64" formatCode="0.00">
                  <c:v>2370789.0087779458</c:v>
                </c:pt>
                <c:pt idx="65" formatCode="0.00">
                  <c:v>2380323.462920065</c:v>
                </c:pt>
                <c:pt idx="66" formatCode="0.00">
                  <c:v>2389864.1475837906</c:v>
                </c:pt>
                <c:pt idx="67" formatCode="0.00">
                  <c:v>2399412.1952567026</c:v>
                </c:pt>
                <c:pt idx="68" formatCode="0.00">
                  <c:v>2408968.7381854504</c:v>
                </c:pt>
                <c:pt idx="69" formatCode="0.00">
                  <c:v>2418534.9082965543</c:v>
                </c:pt>
                <c:pt idx="70" formatCode="0.00">
                  <c:v>2428111.8371059373</c:v>
                </c:pt>
                <c:pt idx="71" formatCode="0.00">
                  <c:v>2437700.6556172357</c:v>
                </c:pt>
                <c:pt idx="72" formatCode="0.00">
                  <c:v>2447302.4942089058</c:v>
                </c:pt>
                <c:pt idx="73" formatCode="0.00">
                  <c:v>2456918.4825102044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FE-46F4-8546-57FE82445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316271"/>
        <c:axId val="1747315311"/>
      </c:lineChart>
      <c:catAx>
        <c:axId val="174731627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15311"/>
        <c:crosses val="autoZero"/>
        <c:auto val="1"/>
        <c:lblAlgn val="ctr"/>
        <c:lblOffset val="100"/>
        <c:noMultiLvlLbl val="0"/>
      </c:catAx>
      <c:valAx>
        <c:axId val="1747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1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556259</xdr:colOff>
      <xdr:row>6</xdr:row>
      <xdr:rowOff>160365</xdr:rowOff>
    </xdr:from>
    <xdr:to>
      <xdr:col>20</xdr:col>
      <xdr:colOff>180108</xdr:colOff>
      <xdr:row>22</xdr:row>
      <xdr:rowOff>110836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45EF86-BEF7-9E96-731E-63AE1C437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15</xdr:row>
      <xdr:rowOff>53564</xdr:rowOff>
    </xdr:from>
    <xdr:to>
      <xdr:col>18</xdr:col>
      <xdr:colOff>390525</xdr:colOff>
      <xdr:row>35</xdr:row>
      <xdr:rowOff>59503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7B00D-3E72-F673-2498-6C959F601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BF0249-C3C1-451F-87CA-57798A87596F}" autoFormatId="16" applyNumberFormats="0" applyBorderFormats="0" applyFontFormats="0" applyPatternFormats="0" applyAlignmentFormats="0" applyWidthHeightFormats="0">
  <queryTableRefresh nextId="6" unboundColumnsRight="4">
    <queryTableFields count="5">
      <queryTableField id="1" name="Month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</queryTableFields>
    <queryTableDeletedFields count="3">
      <deletedField name="Revenue"/>
      <deletedField name="MoM_Change_USD"/>
      <deletedField name="MoM_Change_%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2F8A15-1D2D-4EAA-B7DC-B57CFDC61180}" name="Table5" displayName="Table5" ref="A26:E62" totalsRowShown="0" headerRowDxfId="0">
  <autoFilter ref="A26:E62" xr:uid="{262F8A15-1D2D-4EAA-B7DC-B57CFDC61180}"/>
  <tableColumns count="5">
    <tableColumn id="1" xr3:uid="{D12618E9-FD0B-4951-A655-464A234706DD}" name="Timeline" dataDxfId="5"/>
    <tableColumn id="2" xr3:uid="{DA9F4D9B-5179-4149-B6D7-31CC3A920507}" name="Values (USD)" dataDxfId="4"/>
    <tableColumn id="3" xr3:uid="{EC43E806-A72F-4E66-9487-880ED83CBFA6}" name="Forecast (USD)" dataDxfId="3"/>
    <tableColumn id="4" xr3:uid="{35C67A7E-0925-420D-A1E5-ED917E721E75}" name="Lower Bound (USD)" dataDxfId="2"/>
    <tableColumn id="5" xr3:uid="{5A6ED3C3-9E03-499A-94FD-F56FB8822347}" name="Upper Bound (USD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625BD1-E203-4077-BF2F-554E3DB22AE4}" name="Table4" displayName="Table4" ref="A4:G66" totalsRowShown="0" headerRowDxfId="20" tableBorderDxfId="19">
  <autoFilter ref="A4:G66" xr:uid="{98625BD1-E203-4077-BF2F-554E3DB22AE4}"/>
  <tableColumns count="7">
    <tableColumn id="1" xr3:uid="{D1DF04C4-4D31-437D-817B-68AFF82288EE}" name="Month" dataDxfId="18"/>
    <tableColumn id="2" xr3:uid="{3C8EE0A6-2868-485B-8532-CDE2E530F4C3}" name="Revenue" dataDxfId="17"/>
    <tableColumn id="3" xr3:uid="{129A6302-D0AC-4060-9634-375D014ECE7A}" name="Month Number" dataDxfId="16">
      <calculatedColumnFormula>MONTH(A5)</calculatedColumnFormula>
    </tableColumn>
    <tableColumn id="4" xr3:uid="{FBF68C6F-D035-4623-9D26-7402AA81EFE0}" name="Centered 12-Month Average"/>
    <tableColumn id="5" xr3:uid="{152C23B2-CEC2-4570-864E-F8A152D81F82}" name="Percentage" dataDxfId="15"/>
    <tableColumn id="6" xr3:uid="{D7EFD608-62C2-4398-B5FF-BA778A234819}" name="Seasonal Index" dataDxfId="14">
      <calculatedColumnFormula>INDEX($O$8:$O$19, C5)</calculatedColumnFormula>
    </tableColumn>
    <tableColumn id="7" xr3:uid="{D52B12B6-8EC1-4978-9F14-94ED4B0E21EE}" name="Deseasonalized_x000a_Revenue" dataDxfId="13">
      <calculatedColumnFormula>B5/F5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8690E-B6DC-486F-B987-5473C2758BDE}" name="Table2" displayName="Table2" ref="A4:E78" totalsRowShown="0" headerRowDxfId="12">
  <autoFilter ref="A4:E78" xr:uid="{9CF8690E-B6DC-486F-B987-5473C2758BDE}"/>
  <tableColumns count="5">
    <tableColumn id="1" xr3:uid="{07F89375-7190-4B05-B2E7-DE1B971351A5}" name="Timeline"/>
    <tableColumn id="2" xr3:uid="{0C04B797-5B28-4A87-BAB6-E358EF972871}" name="Values"/>
    <tableColumn id="3" xr3:uid="{E9C17AD5-590F-466A-8EC8-B1E71DE83DB7}" name="Forecast">
      <calculatedColumnFormula>_xlfn.FORECAST.ETS(A5,$B$5:$B$66,$A$5:$A$66,1,1)</calculatedColumnFormula>
    </tableColumn>
    <tableColumn id="4" xr3:uid="{6B09EB63-06E4-445F-AFED-AF1645AA0598}" name="Lower Confidence Bound" dataDxfId="11">
      <calculatedColumnFormula>C5-_xlfn.FORECAST.ETS.CONFINT(A5,$B$5:$B$66,$A$5:$A$66,0.95,1,1)</calculatedColumnFormula>
    </tableColumn>
    <tableColumn id="5" xr3:uid="{7FAC777B-A5A3-4996-AEE4-54AF66F46DBF}" name="Upper Confidence Bound" dataDxfId="10">
      <calculatedColumnFormula>C5+_xlfn.FORECAST.ETS.CONFINT(A5,$B$5:$B$66,$A$5:$A$66,0.95,1,1)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841A73-03DE-45D1-8C59-39CEEF7D359B}" name="Table3" displayName="Table3" ref="G4:H11" totalsRowShown="0" headerRowDxfId="9">
  <autoFilter ref="G4:H11" xr:uid="{57841A73-03DE-45D1-8C59-39CEEF7D359B}"/>
  <tableColumns count="2">
    <tableColumn id="1" xr3:uid="{10EDEA80-2C97-4998-B9C9-D4FC160AEE46}" name="Statistic"/>
    <tableColumn id="2" xr3:uid="{790D705A-39CD-4D78-90E4-DB2533C76A1E}" name="Value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E2087-5CF5-49EC-9441-65F181B8FF9B}" name="ge_vw_revenue_forecast" displayName="ge_vw_revenue_forecast" ref="A4:E66" tableType="queryTable" totalsRowShown="0" headerRowDxfId="7">
  <autoFilter ref="A4:E66" xr:uid="{225E2087-5CF5-49EC-9441-65F181B8FF9B}"/>
  <tableColumns count="5">
    <tableColumn id="1" xr3:uid="{E781F119-C731-4E7B-BC62-3B41F93E0CAE}" uniqueName="1" name="Month" queryTableFieldId="1" dataDxfId="6"/>
    <tableColumn id="2" xr3:uid="{E84DB9B6-BA93-45AB-AE23-F4195DF62EED}" uniqueName="2" name="Series" queryTableFieldId="2"/>
    <tableColumn id="3" xr3:uid="{8BD5E340-FA79-4A58-8558-47191851C90B}" uniqueName="3" name="Revenue" queryTableFieldId="3"/>
    <tableColumn id="4" xr3:uid="{27DAE10F-D85A-4445-9D2F-C73AE24B1E72}" uniqueName="4" name="MoM_Change_USD" queryTableFieldId="4"/>
    <tableColumn id="5" xr3:uid="{46811369-E55A-4280-BD97-7B03099B4144}" uniqueName="5" name="MoM_Change_%" queryTableField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73F2-033B-4986-A52C-EB329AF3E270}">
  <dimension ref="A1:H64"/>
  <sheetViews>
    <sheetView showGridLines="0" tabSelected="1" topLeftCell="A53" zoomScaleNormal="100" workbookViewId="0">
      <selection activeCell="G31" sqref="G31"/>
    </sheetView>
  </sheetViews>
  <sheetFormatPr defaultRowHeight="14.4" x14ac:dyDescent="0.3"/>
  <cols>
    <col min="1" max="1" width="11" customWidth="1"/>
    <col min="2" max="2" width="13.77734375" customWidth="1"/>
    <col min="3" max="3" width="15.21875" customWidth="1"/>
    <col min="4" max="4" width="19.33203125" customWidth="1"/>
    <col min="5" max="5" width="19.44140625" customWidth="1"/>
    <col min="6" max="6" width="13.44140625" customWidth="1"/>
    <col min="7" max="7" width="16.77734375" customWidth="1"/>
    <col min="8" max="8" width="12.88671875" customWidth="1"/>
  </cols>
  <sheetData>
    <row r="1" spans="1:8" ht="21" x14ac:dyDescent="0.4">
      <c r="A1" s="9" t="s">
        <v>63</v>
      </c>
    </row>
    <row r="2" spans="1:8" x14ac:dyDescent="0.3">
      <c r="A2" t="s">
        <v>45</v>
      </c>
    </row>
    <row r="3" spans="1:8" x14ac:dyDescent="0.3">
      <c r="A3" t="s">
        <v>46</v>
      </c>
      <c r="C3">
        <v>0.03</v>
      </c>
      <c r="D3" s="25"/>
      <c r="E3" s="25" t="s">
        <v>48</v>
      </c>
    </row>
    <row r="4" spans="1:8" x14ac:dyDescent="0.3">
      <c r="A4" t="s">
        <v>47</v>
      </c>
      <c r="C4">
        <v>-0.02</v>
      </c>
      <c r="E4" s="25" t="s">
        <v>48</v>
      </c>
    </row>
    <row r="5" spans="1:8" x14ac:dyDescent="0.3">
      <c r="A5" t="s">
        <v>52</v>
      </c>
      <c r="C5">
        <v>0</v>
      </c>
      <c r="E5" s="25" t="s">
        <v>48</v>
      </c>
    </row>
    <row r="6" spans="1:8" x14ac:dyDescent="0.3">
      <c r="A6" t="s">
        <v>57</v>
      </c>
      <c r="C6" s="6">
        <f>Seasonality!M22</f>
        <v>381339.14068980265</v>
      </c>
      <c r="E6" s="25" t="s">
        <v>58</v>
      </c>
    </row>
    <row r="8" spans="1:8" ht="28.8" x14ac:dyDescent="0.3">
      <c r="A8" s="36" t="s">
        <v>0</v>
      </c>
      <c r="B8" s="36" t="s">
        <v>49</v>
      </c>
      <c r="C8" s="37" t="s">
        <v>38</v>
      </c>
      <c r="D8" s="37" t="s">
        <v>59</v>
      </c>
      <c r="E8" s="37" t="s">
        <v>60</v>
      </c>
      <c r="F8" s="37" t="s">
        <v>61</v>
      </c>
      <c r="G8" s="37" t="s">
        <v>50</v>
      </c>
      <c r="H8" s="37" t="s">
        <v>51</v>
      </c>
    </row>
    <row r="9" spans="1:8" x14ac:dyDescent="0.3">
      <c r="A9" s="29">
        <v>44256</v>
      </c>
      <c r="B9" s="30">
        <v>1</v>
      </c>
      <c r="C9" s="5">
        <f>INDEX(Seasonality!$O$8:$O$19,MONTH(Forecast!A9))</f>
        <v>0.55770217908347586</v>
      </c>
      <c r="D9" s="31">
        <f>C9*$C$6*(1+$C$4)^B9</f>
        <v>208420.19633787265</v>
      </c>
      <c r="E9" s="31">
        <f>C9*$C$6*(1+$C$5)^B9</f>
        <v>212673.66973252312</v>
      </c>
      <c r="F9" s="31">
        <f>C9*$C$6*(1+$C$3)^B9</f>
        <v>219053.87982449881</v>
      </c>
      <c r="G9" s="31">
        <f>'Forecast Sheet'!C82</f>
        <v>763877.36900118995</v>
      </c>
      <c r="H9" s="31">
        <f>E9-G9</f>
        <v>-551203.69926866679</v>
      </c>
    </row>
    <row r="10" spans="1:8" x14ac:dyDescent="0.3">
      <c r="A10" s="29">
        <v>44287</v>
      </c>
      <c r="B10" s="30">
        <f>B9+1</f>
        <v>2</v>
      </c>
      <c r="C10" s="5">
        <f>INDEX(Seasonality!$O$8:$O$19,MONTH(Forecast!A10))</f>
        <v>9.3836861920854581E-2</v>
      </c>
      <c r="D10" s="31">
        <f t="shared" ref="D10:D20" si="0">C10*$C$6*(1+$C$4)^B10</f>
        <v>34366.635025645264</v>
      </c>
      <c r="E10" s="31">
        <f t="shared" ref="E10:E20" si="1">C10*$C$6*(1+$C$5)^B10</f>
        <v>35783.668289926347</v>
      </c>
      <c r="F10" s="31">
        <f t="shared" ref="F10:F20" si="2">C10*$C$6*(1+$C$3)^B10</f>
        <v>37962.89368878286</v>
      </c>
      <c r="G10" s="31">
        <f>'Forecast Sheet'!C83</f>
        <v>769844.00126605912</v>
      </c>
      <c r="H10" s="31">
        <f t="shared" ref="H10:H20" si="3">E10-G10</f>
        <v>-734060.33297613275</v>
      </c>
    </row>
    <row r="11" spans="1:8" x14ac:dyDescent="0.3">
      <c r="A11" s="29">
        <v>44317</v>
      </c>
      <c r="B11" s="30">
        <f t="shared" ref="B11:B20" si="4">B10+1</f>
        <v>3</v>
      </c>
      <c r="C11" s="5">
        <f>INDEX(Seasonality!$O$8:$O$19,MONTH(Forecast!A11))</f>
        <v>1.0827928889207721</v>
      </c>
      <c r="D11" s="31">
        <f t="shared" si="0"/>
        <v>388628.82149900042</v>
      </c>
      <c r="E11" s="31">
        <f t="shared" si="1"/>
        <v>412911.30980607617</v>
      </c>
      <c r="F11" s="31">
        <f t="shared" si="2"/>
        <v>451199.33683046419</v>
      </c>
      <c r="G11" s="31">
        <f>'Forecast Sheet'!C84</f>
        <v>775810.63353092759</v>
      </c>
      <c r="H11" s="31">
        <f t="shared" si="3"/>
        <v>-362899.32372485142</v>
      </c>
    </row>
    <row r="12" spans="1:8" x14ac:dyDescent="0.3">
      <c r="A12" s="29">
        <v>44348</v>
      </c>
      <c r="B12" s="30">
        <f t="shared" si="4"/>
        <v>4</v>
      </c>
      <c r="C12" s="5">
        <f>INDEX(Seasonality!$O$8:$O$19,MONTH(Forecast!A12))</f>
        <v>0.97911466482353871</v>
      </c>
      <c r="D12" s="31">
        <f t="shared" si="0"/>
        <v>344388.97646287613</v>
      </c>
      <c r="E12" s="31">
        <f t="shared" si="1"/>
        <v>373374.74492059241</v>
      </c>
      <c r="F12" s="31">
        <f t="shared" si="2"/>
        <v>420236.56483962946</v>
      </c>
      <c r="G12" s="31">
        <f>'Forecast Sheet'!C85</f>
        <v>781777.26579579676</v>
      </c>
      <c r="H12" s="31">
        <f t="shared" si="3"/>
        <v>-408402.52087520435</v>
      </c>
    </row>
    <row r="13" spans="1:8" x14ac:dyDescent="0.3">
      <c r="A13" s="29">
        <v>44378</v>
      </c>
      <c r="B13" s="30">
        <f t="shared" si="4"/>
        <v>5</v>
      </c>
      <c r="C13" s="5">
        <f>INDEX(Seasonality!$O$8:$O$19,MONTH(Forecast!A13))</f>
        <v>0.85333255083444914</v>
      </c>
      <c r="D13" s="31">
        <f t="shared" si="0"/>
        <v>294144.05445653247</v>
      </c>
      <c r="E13" s="31">
        <f t="shared" si="1"/>
        <v>325409.10165784619</v>
      </c>
      <c r="F13" s="31">
        <f t="shared" si="2"/>
        <v>377238.33509319421</v>
      </c>
      <c r="G13" s="31">
        <f>'Forecast Sheet'!C86</f>
        <v>787743.89806066535</v>
      </c>
      <c r="H13" s="31">
        <f t="shared" si="3"/>
        <v>-462334.79640281916</v>
      </c>
    </row>
    <row r="14" spans="1:8" x14ac:dyDescent="0.3">
      <c r="A14" s="29">
        <v>44409</v>
      </c>
      <c r="B14" s="30">
        <f t="shared" si="4"/>
        <v>6</v>
      </c>
      <c r="C14" s="5">
        <f>INDEX(Seasonality!$O$8:$O$19,MONTH(Forecast!A14))</f>
        <v>0.91092864509183669</v>
      </c>
      <c r="D14" s="31">
        <f t="shared" si="0"/>
        <v>307717.50102744321</v>
      </c>
      <c r="E14" s="31">
        <f t="shared" si="1"/>
        <v>347372.74674904719</v>
      </c>
      <c r="F14" s="31">
        <f t="shared" si="2"/>
        <v>414781.22600728646</v>
      </c>
      <c r="G14" s="31">
        <f>'Forecast Sheet'!C87</f>
        <v>793710.53032553452</v>
      </c>
      <c r="H14" s="31">
        <f t="shared" si="3"/>
        <v>-446337.78357648733</v>
      </c>
    </row>
    <row r="15" spans="1:8" x14ac:dyDescent="0.3">
      <c r="A15" s="29">
        <v>44440</v>
      </c>
      <c r="B15" s="30">
        <f t="shared" si="4"/>
        <v>7</v>
      </c>
      <c r="C15" s="5">
        <f>INDEX(Seasonality!$O$8:$O$19,MONTH(Forecast!A15))</f>
        <v>0.98927759250581693</v>
      </c>
      <c r="D15" s="31">
        <f t="shared" si="0"/>
        <v>327500.58923275163</v>
      </c>
      <c r="E15" s="31">
        <f t="shared" si="1"/>
        <v>377250.26702984498</v>
      </c>
      <c r="F15" s="31">
        <f t="shared" si="2"/>
        <v>463970.24414455984</v>
      </c>
      <c r="G15" s="31">
        <f>'Forecast Sheet'!C88</f>
        <v>799677.16259040323</v>
      </c>
      <c r="H15" s="31">
        <f t="shared" si="3"/>
        <v>-422426.89556055825</v>
      </c>
    </row>
    <row r="16" spans="1:8" x14ac:dyDescent="0.3">
      <c r="A16" s="29">
        <v>44470</v>
      </c>
      <c r="B16" s="30">
        <f t="shared" si="4"/>
        <v>8</v>
      </c>
      <c r="C16" s="5">
        <f>INDEX(Seasonality!$O$8:$O$19,MONTH(Forecast!A16))</f>
        <v>1.0049429687230065</v>
      </c>
      <c r="D16" s="31">
        <f t="shared" si="0"/>
        <v>326032.8835479581</v>
      </c>
      <c r="E16" s="31">
        <f t="shared" si="1"/>
        <v>383224.08813509048</v>
      </c>
      <c r="F16" s="31">
        <f t="shared" si="2"/>
        <v>485456.80931658344</v>
      </c>
      <c r="G16" s="31">
        <f>'Forecast Sheet'!C89</f>
        <v>805643.79485527228</v>
      </c>
      <c r="H16" s="31">
        <f t="shared" si="3"/>
        <v>-422419.7067201818</v>
      </c>
    </row>
    <row r="17" spans="1:8" x14ac:dyDescent="0.3">
      <c r="A17" s="29">
        <v>44501</v>
      </c>
      <c r="B17" s="30">
        <f t="shared" si="4"/>
        <v>9</v>
      </c>
      <c r="C17" s="5">
        <f>INDEX(Seasonality!$O$8:$O$19,MONTH(Forecast!A17))</f>
        <v>1.0813119968257763</v>
      </c>
      <c r="D17" s="31">
        <f t="shared" si="0"/>
        <v>343793.04470613657</v>
      </c>
      <c r="E17" s="31">
        <f t="shared" si="1"/>
        <v>412346.58768711612</v>
      </c>
      <c r="F17" s="31">
        <f t="shared" si="2"/>
        <v>538018.77005764318</v>
      </c>
      <c r="G17" s="31">
        <f>'Forecast Sheet'!C90</f>
        <v>811610.42712014087</v>
      </c>
      <c r="H17" s="31">
        <f t="shared" si="3"/>
        <v>-399263.83943302475</v>
      </c>
    </row>
    <row r="18" spans="1:8" x14ac:dyDescent="0.3">
      <c r="A18" s="29">
        <v>44531</v>
      </c>
      <c r="B18" s="30">
        <f t="shared" si="4"/>
        <v>10</v>
      </c>
      <c r="C18" s="5">
        <f>INDEX(Seasonality!$O$8:$O$19,MONTH(Forecast!A18))</f>
        <v>1.6935272993299522</v>
      </c>
      <c r="D18" s="31">
        <f t="shared" si="0"/>
        <v>527672.3555032803</v>
      </c>
      <c r="E18" s="31">
        <f t="shared" si="1"/>
        <v>645808.24506120617</v>
      </c>
      <c r="F18" s="31">
        <f t="shared" si="2"/>
        <v>867912.27845323749</v>
      </c>
      <c r="G18" s="31">
        <f>'Forecast Sheet'!C91</f>
        <v>817577.05938501004</v>
      </c>
      <c r="H18" s="31">
        <f t="shared" si="3"/>
        <v>-171768.81432380388</v>
      </c>
    </row>
    <row r="19" spans="1:8" x14ac:dyDescent="0.3">
      <c r="A19" s="29">
        <v>44562</v>
      </c>
      <c r="B19" s="30">
        <f t="shared" si="4"/>
        <v>11</v>
      </c>
      <c r="C19" s="5">
        <f>INDEX(Seasonality!$O$8:$O$19,MONTH(Forecast!A19))</f>
        <v>1.2634175614796064</v>
      </c>
      <c r="D19" s="31">
        <f t="shared" si="0"/>
        <v>385784.81167421717</v>
      </c>
      <c r="E19" s="31">
        <f t="shared" si="1"/>
        <v>481790.56722703902</v>
      </c>
      <c r="F19" s="31">
        <f t="shared" si="2"/>
        <v>666910.82175121037</v>
      </c>
      <c r="G19" s="31">
        <f>'Forecast Sheet'!C92</f>
        <v>823543.69164987863</v>
      </c>
      <c r="H19" s="31">
        <f t="shared" si="3"/>
        <v>-341753.12442283961</v>
      </c>
    </row>
    <row r="20" spans="1:8" ht="15" thickBot="1" x14ac:dyDescent="0.35">
      <c r="A20" s="32">
        <v>44593</v>
      </c>
      <c r="B20" s="33">
        <f t="shared" si="4"/>
        <v>12</v>
      </c>
      <c r="C20" s="20">
        <f>INDEX(Seasonality!$O$8:$O$19,MONTH(Forecast!A20))</f>
        <v>1.4898147904609165</v>
      </c>
      <c r="D20" s="34">
        <f t="shared" si="0"/>
        <v>445816.94696442701</v>
      </c>
      <c r="E20" s="34">
        <f t="shared" si="1"/>
        <v>568124.69198132423</v>
      </c>
      <c r="F20" s="34">
        <f t="shared" si="2"/>
        <v>810009.96467850485</v>
      </c>
      <c r="G20" s="34">
        <f>'Forecast Sheet'!C93</f>
        <v>829510.3239147478</v>
      </c>
      <c r="H20" s="34">
        <f t="shared" si="3"/>
        <v>-261385.63193342357</v>
      </c>
    </row>
    <row r="21" spans="1:8" x14ac:dyDescent="0.3">
      <c r="A21" s="39" t="s">
        <v>62</v>
      </c>
      <c r="B21" s="40"/>
      <c r="C21" s="40"/>
      <c r="D21" s="41">
        <f>SUM(D9:D20)</f>
        <v>3934266.8164381408</v>
      </c>
      <c r="E21" s="41">
        <f t="shared" ref="E21:F21" si="5">SUM(E9:E20)</f>
        <v>4576069.688277632</v>
      </c>
      <c r="F21" s="41">
        <f t="shared" si="5"/>
        <v>5752751.1246855957</v>
      </c>
      <c r="G21" s="41">
        <f>SUM(G9:G20)</f>
        <v>9560326.1574956253</v>
      </c>
      <c r="H21" s="41">
        <f t="shared" ref="H21" si="6">SUM(H9:H20)</f>
        <v>-4984256.4692179952</v>
      </c>
    </row>
    <row r="25" spans="1:8" x14ac:dyDescent="0.3">
      <c r="A25" s="26" t="s">
        <v>64</v>
      </c>
    </row>
    <row r="26" spans="1:8" ht="28.8" x14ac:dyDescent="0.3">
      <c r="A26" s="36" t="s">
        <v>6</v>
      </c>
      <c r="B26" s="36" t="s">
        <v>65</v>
      </c>
      <c r="C26" s="42" t="s">
        <v>60</v>
      </c>
      <c r="D26" s="42" t="s">
        <v>59</v>
      </c>
      <c r="E26" s="42" t="s">
        <v>61</v>
      </c>
    </row>
    <row r="27" spans="1:8" x14ac:dyDescent="0.3">
      <c r="A27" s="13">
        <f>Data!A43</f>
        <v>43525</v>
      </c>
      <c r="B27" s="31">
        <f>Data!C43</f>
        <v>845925.09</v>
      </c>
    </row>
    <row r="28" spans="1:8" x14ac:dyDescent="0.3">
      <c r="A28" s="13">
        <f>Data!A44</f>
        <v>43556</v>
      </c>
      <c r="B28" s="31">
        <f>Data!C44</f>
        <v>149892.71</v>
      </c>
    </row>
    <row r="29" spans="1:8" x14ac:dyDescent="0.3">
      <c r="A29" s="13">
        <f>Data!A45</f>
        <v>43586</v>
      </c>
      <c r="B29" s="31">
        <f>Data!C45</f>
        <v>1594446.47</v>
      </c>
    </row>
    <row r="30" spans="1:8" x14ac:dyDescent="0.3">
      <c r="A30" s="13">
        <f>Data!A46</f>
        <v>43617</v>
      </c>
      <c r="B30" s="31">
        <f>Data!C46</f>
        <v>1404861.4</v>
      </c>
    </row>
    <row r="31" spans="1:8" x14ac:dyDescent="0.3">
      <c r="A31" s="13">
        <f>Data!A47</f>
        <v>43647</v>
      </c>
      <c r="B31" s="31">
        <f>Data!C47</f>
        <v>1408714.62</v>
      </c>
    </row>
    <row r="32" spans="1:8" x14ac:dyDescent="0.3">
      <c r="A32" s="13">
        <f>Data!A48</f>
        <v>43678</v>
      </c>
      <c r="B32" s="31">
        <f>Data!C48</f>
        <v>1500784.77</v>
      </c>
    </row>
    <row r="33" spans="1:2" x14ac:dyDescent="0.3">
      <c r="A33" s="13">
        <f>Data!A49</f>
        <v>43709</v>
      </c>
      <c r="B33" s="31">
        <f>Data!C49</f>
        <v>1547870.73</v>
      </c>
    </row>
    <row r="34" spans="1:2" x14ac:dyDescent="0.3">
      <c r="A34" s="13">
        <f>Data!A50</f>
        <v>43739</v>
      </c>
      <c r="B34" s="31">
        <f>Data!C50</f>
        <v>1575168.82</v>
      </c>
    </row>
    <row r="35" spans="1:2" x14ac:dyDescent="0.3">
      <c r="A35" s="13">
        <f>Data!A51</f>
        <v>43770</v>
      </c>
      <c r="B35" s="31">
        <f>Data!C51</f>
        <v>1715659.88</v>
      </c>
    </row>
    <row r="36" spans="1:2" x14ac:dyDescent="0.3">
      <c r="A36" s="13">
        <f>Data!A52</f>
        <v>43800</v>
      </c>
      <c r="B36" s="31">
        <f>Data!C52</f>
        <v>2477295.85</v>
      </c>
    </row>
    <row r="37" spans="1:2" x14ac:dyDescent="0.3">
      <c r="A37" s="13">
        <f>Data!A53</f>
        <v>43831</v>
      </c>
      <c r="B37" s="31">
        <f>Data!C53</f>
        <v>2068951.12</v>
      </c>
    </row>
    <row r="38" spans="1:2" x14ac:dyDescent="0.3">
      <c r="A38" s="13">
        <f>Data!A54</f>
        <v>43862</v>
      </c>
      <c r="B38" s="31">
        <f>Data!C54</f>
        <v>2227379.5699999998</v>
      </c>
    </row>
    <row r="39" spans="1:2" x14ac:dyDescent="0.3">
      <c r="A39" s="13">
        <f>Data!A55</f>
        <v>43891</v>
      </c>
      <c r="B39" s="31">
        <f>Data!C55</f>
        <v>674990.66</v>
      </c>
    </row>
    <row r="40" spans="1:2" x14ac:dyDescent="0.3">
      <c r="A40" s="13">
        <f>Data!A56</f>
        <v>43922</v>
      </c>
      <c r="B40" s="31">
        <f>Data!C56</f>
        <v>217642.1</v>
      </c>
    </row>
    <row r="41" spans="1:2" x14ac:dyDescent="0.3">
      <c r="A41" s="13">
        <f>Data!A57</f>
        <v>43952</v>
      </c>
      <c r="B41" s="31">
        <f>Data!C57</f>
        <v>878026.63</v>
      </c>
    </row>
    <row r="42" spans="1:2" x14ac:dyDescent="0.3">
      <c r="A42" s="13">
        <f>Data!A58</f>
        <v>43983</v>
      </c>
      <c r="B42" s="31">
        <f>Data!C58</f>
        <v>763883.23</v>
      </c>
    </row>
    <row r="43" spans="1:2" x14ac:dyDescent="0.3">
      <c r="A43" s="13">
        <f>Data!A59</f>
        <v>44013</v>
      </c>
      <c r="B43" s="31">
        <f>Data!C59</f>
        <v>512805.18</v>
      </c>
    </row>
    <row r="44" spans="1:2" x14ac:dyDescent="0.3">
      <c r="A44" s="13">
        <f>Data!A60</f>
        <v>44044</v>
      </c>
      <c r="B44" s="31">
        <f>Data!C60</f>
        <v>416647.08</v>
      </c>
    </row>
    <row r="45" spans="1:2" x14ac:dyDescent="0.3">
      <c r="A45" s="13">
        <f>Data!A61</f>
        <v>44075</v>
      </c>
      <c r="B45" s="31">
        <f>Data!C61</f>
        <v>380431.52</v>
      </c>
    </row>
    <row r="46" spans="1:2" x14ac:dyDescent="0.3">
      <c r="A46" s="13">
        <f>Data!A62</f>
        <v>44105</v>
      </c>
      <c r="B46" s="31">
        <f>Data!C62</f>
        <v>245647.59</v>
      </c>
    </row>
    <row r="47" spans="1:2" x14ac:dyDescent="0.3">
      <c r="A47" s="13">
        <f>Data!A63</f>
        <v>44136</v>
      </c>
      <c r="B47" s="31">
        <f>Data!C63</f>
        <v>256701.02</v>
      </c>
    </row>
    <row r="48" spans="1:2" x14ac:dyDescent="0.3">
      <c r="A48" s="13">
        <f>Data!A64</f>
        <v>44166</v>
      </c>
      <c r="B48" s="31">
        <f>Data!C64</f>
        <v>651526.43999999994</v>
      </c>
    </row>
    <row r="49" spans="1:5" x14ac:dyDescent="0.3">
      <c r="A49" s="13">
        <f>Data!A65</f>
        <v>44197</v>
      </c>
      <c r="B49" s="31">
        <f>Data!C65</f>
        <v>513021.58</v>
      </c>
    </row>
    <row r="50" spans="1:5" x14ac:dyDescent="0.3">
      <c r="A50" s="13">
        <f>Data!A66</f>
        <v>44228</v>
      </c>
      <c r="B50" s="31">
        <f>Data!$C$66</f>
        <v>526266.9</v>
      </c>
      <c r="C50" s="31">
        <f>Data!$C$66</f>
        <v>526266.9</v>
      </c>
      <c r="D50" s="31">
        <f>Data!$C$66</f>
        <v>526266.9</v>
      </c>
      <c r="E50" s="31">
        <f>Data!$C$66</f>
        <v>526266.9</v>
      </c>
    </row>
    <row r="51" spans="1:5" x14ac:dyDescent="0.3">
      <c r="A51" s="13">
        <f>A9</f>
        <v>44256</v>
      </c>
      <c r="B51" s="31"/>
      <c r="C51" s="31">
        <f>E9</f>
        <v>212673.66973252312</v>
      </c>
      <c r="D51" s="31">
        <f>D9</f>
        <v>208420.19633787265</v>
      </c>
      <c r="E51" s="31">
        <f>F9</f>
        <v>219053.87982449881</v>
      </c>
    </row>
    <row r="52" spans="1:5" x14ac:dyDescent="0.3">
      <c r="A52" s="13">
        <f t="shared" ref="A52:A62" si="7">A10</f>
        <v>44287</v>
      </c>
      <c r="B52" s="31"/>
      <c r="C52" s="31">
        <f t="shared" ref="C52:C62" si="8">E10</f>
        <v>35783.668289926347</v>
      </c>
      <c r="D52" s="31">
        <f t="shared" ref="D52:D62" si="9">D10</f>
        <v>34366.635025645264</v>
      </c>
      <c r="E52" s="31">
        <f t="shared" ref="E52:E62" si="10">F10</f>
        <v>37962.89368878286</v>
      </c>
    </row>
    <row r="53" spans="1:5" x14ac:dyDescent="0.3">
      <c r="A53" s="13">
        <f t="shared" si="7"/>
        <v>44317</v>
      </c>
      <c r="B53" s="31"/>
      <c r="C53" s="31">
        <f t="shared" si="8"/>
        <v>412911.30980607617</v>
      </c>
      <c r="D53" s="31">
        <f t="shared" si="9"/>
        <v>388628.82149900042</v>
      </c>
      <c r="E53" s="31">
        <f t="shared" si="10"/>
        <v>451199.33683046419</v>
      </c>
    </row>
    <row r="54" spans="1:5" x14ac:dyDescent="0.3">
      <c r="A54" s="13">
        <f t="shared" si="7"/>
        <v>44348</v>
      </c>
      <c r="B54" s="31"/>
      <c r="C54" s="31">
        <f t="shared" si="8"/>
        <v>373374.74492059241</v>
      </c>
      <c r="D54" s="31">
        <f t="shared" si="9"/>
        <v>344388.97646287613</v>
      </c>
      <c r="E54" s="31">
        <f t="shared" si="10"/>
        <v>420236.56483962946</v>
      </c>
    </row>
    <row r="55" spans="1:5" x14ac:dyDescent="0.3">
      <c r="A55" s="13">
        <f t="shared" si="7"/>
        <v>44378</v>
      </c>
      <c r="B55" s="31"/>
      <c r="C55" s="31">
        <f t="shared" si="8"/>
        <v>325409.10165784619</v>
      </c>
      <c r="D55" s="31">
        <f t="shared" si="9"/>
        <v>294144.05445653247</v>
      </c>
      <c r="E55" s="31">
        <f t="shared" si="10"/>
        <v>377238.33509319421</v>
      </c>
    </row>
    <row r="56" spans="1:5" x14ac:dyDescent="0.3">
      <c r="A56" s="13">
        <f t="shared" si="7"/>
        <v>44409</v>
      </c>
      <c r="B56" s="31"/>
      <c r="C56" s="31">
        <f t="shared" si="8"/>
        <v>347372.74674904719</v>
      </c>
      <c r="D56" s="31">
        <f t="shared" si="9"/>
        <v>307717.50102744321</v>
      </c>
      <c r="E56" s="31">
        <f t="shared" si="10"/>
        <v>414781.22600728646</v>
      </c>
    </row>
    <row r="57" spans="1:5" x14ac:dyDescent="0.3">
      <c r="A57" s="13">
        <f t="shared" si="7"/>
        <v>44440</v>
      </c>
      <c r="B57" s="31"/>
      <c r="C57" s="31">
        <f t="shared" si="8"/>
        <v>377250.26702984498</v>
      </c>
      <c r="D57" s="31">
        <f t="shared" si="9"/>
        <v>327500.58923275163</v>
      </c>
      <c r="E57" s="31">
        <f t="shared" si="10"/>
        <v>463970.24414455984</v>
      </c>
    </row>
    <row r="58" spans="1:5" x14ac:dyDescent="0.3">
      <c r="A58" s="13">
        <f t="shared" si="7"/>
        <v>44470</v>
      </c>
      <c r="B58" s="31"/>
      <c r="C58" s="31">
        <f t="shared" si="8"/>
        <v>383224.08813509048</v>
      </c>
      <c r="D58" s="31">
        <f t="shared" si="9"/>
        <v>326032.8835479581</v>
      </c>
      <c r="E58" s="31">
        <f t="shared" si="10"/>
        <v>485456.80931658344</v>
      </c>
    </row>
    <row r="59" spans="1:5" x14ac:dyDescent="0.3">
      <c r="A59" s="13">
        <f t="shared" si="7"/>
        <v>44501</v>
      </c>
      <c r="B59" s="31"/>
      <c r="C59" s="31">
        <f t="shared" si="8"/>
        <v>412346.58768711612</v>
      </c>
      <c r="D59" s="31">
        <f t="shared" si="9"/>
        <v>343793.04470613657</v>
      </c>
      <c r="E59" s="31">
        <f t="shared" si="10"/>
        <v>538018.77005764318</v>
      </c>
    </row>
    <row r="60" spans="1:5" x14ac:dyDescent="0.3">
      <c r="A60" s="13">
        <f>A18</f>
        <v>44531</v>
      </c>
      <c r="B60" s="31"/>
      <c r="C60" s="31">
        <f t="shared" si="8"/>
        <v>645808.24506120617</v>
      </c>
      <c r="D60" s="31">
        <f t="shared" si="9"/>
        <v>527672.3555032803</v>
      </c>
      <c r="E60" s="31">
        <f t="shared" si="10"/>
        <v>867912.27845323749</v>
      </c>
    </row>
    <row r="61" spans="1:5" x14ac:dyDescent="0.3">
      <c r="A61" s="13">
        <f t="shared" si="7"/>
        <v>44562</v>
      </c>
      <c r="B61" s="31"/>
      <c r="C61" s="31">
        <f t="shared" si="8"/>
        <v>481790.56722703902</v>
      </c>
      <c r="D61" s="31">
        <f t="shared" si="9"/>
        <v>385784.81167421717</v>
      </c>
      <c r="E61" s="31">
        <f t="shared" si="10"/>
        <v>666910.82175121037</v>
      </c>
    </row>
    <row r="62" spans="1:5" x14ac:dyDescent="0.3">
      <c r="A62" s="13">
        <f t="shared" si="7"/>
        <v>44593</v>
      </c>
      <c r="B62" s="31"/>
      <c r="C62" s="31">
        <f t="shared" si="8"/>
        <v>568124.69198132423</v>
      </c>
      <c r="D62" s="31">
        <f t="shared" si="9"/>
        <v>445816.94696442701</v>
      </c>
      <c r="E62" s="31">
        <f t="shared" si="10"/>
        <v>810009.96467850485</v>
      </c>
    </row>
    <row r="63" spans="1:5" x14ac:dyDescent="0.3">
      <c r="A63" s="1"/>
    </row>
    <row r="64" spans="1:5" x14ac:dyDescent="0.3">
      <c r="A64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60DA-647D-4BA6-B8D9-EC2A2A41D9BA}">
  <dimension ref="A1:A8"/>
  <sheetViews>
    <sheetView showGridLines="0" workbookViewId="0">
      <selection activeCell="G5" sqref="G5"/>
    </sheetView>
  </sheetViews>
  <sheetFormatPr defaultRowHeight="14.4" x14ac:dyDescent="0.3"/>
  <sheetData>
    <row r="1" spans="1:1" ht="21" x14ac:dyDescent="0.4">
      <c r="A1" s="9" t="s">
        <v>43</v>
      </c>
    </row>
    <row r="3" spans="1:1" x14ac:dyDescent="0.3">
      <c r="A3" t="s">
        <v>44</v>
      </c>
    </row>
    <row r="4" spans="1:1" x14ac:dyDescent="0.3">
      <c r="A4" t="s">
        <v>54</v>
      </c>
    </row>
    <row r="5" spans="1:1" x14ac:dyDescent="0.3">
      <c r="A5" t="s">
        <v>71</v>
      </c>
    </row>
    <row r="6" spans="1:1" x14ac:dyDescent="0.3">
      <c r="A6" t="s">
        <v>72</v>
      </c>
    </row>
    <row r="7" spans="1:1" x14ac:dyDescent="0.3">
      <c r="A7" t="s">
        <v>73</v>
      </c>
    </row>
    <row r="8" spans="1:1" x14ac:dyDescent="0.3">
      <c r="A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AFAE-DFDE-4784-B354-0888124EAA0E}">
  <dimension ref="A1:O66"/>
  <sheetViews>
    <sheetView showGridLines="0" topLeftCell="B1" zoomScaleNormal="100" workbookViewId="0">
      <selection activeCell="M22" sqref="M22"/>
    </sheetView>
  </sheetViews>
  <sheetFormatPr defaultRowHeight="14.4" x14ac:dyDescent="0.3"/>
  <cols>
    <col min="1" max="1" width="12" customWidth="1"/>
    <col min="2" max="2" width="11" bestFit="1" customWidth="1"/>
    <col min="3" max="3" width="16" customWidth="1"/>
    <col min="4" max="4" width="23.21875" bestFit="1" customWidth="1"/>
    <col min="5" max="5" width="12.5546875" customWidth="1"/>
    <col min="6" max="6" width="15.44140625" customWidth="1"/>
    <col min="7" max="7" width="14.77734375" customWidth="1"/>
    <col min="10" max="10" width="10.33203125" bestFit="1" customWidth="1"/>
    <col min="11" max="11" width="14.21875" bestFit="1" customWidth="1"/>
    <col min="12" max="12" width="13.5546875" style="11" bestFit="1" customWidth="1"/>
    <col min="13" max="13" width="10.77734375" style="10" bestFit="1" customWidth="1"/>
    <col min="14" max="14" width="13.33203125" bestFit="1" customWidth="1"/>
    <col min="15" max="15" width="15.88671875" customWidth="1"/>
    <col min="16" max="16" width="13.21875" bestFit="1" customWidth="1"/>
  </cols>
  <sheetData>
    <row r="1" spans="1:15" ht="21" x14ac:dyDescent="0.4">
      <c r="A1" s="9" t="s">
        <v>20</v>
      </c>
    </row>
    <row r="2" spans="1:15" x14ac:dyDescent="0.3">
      <c r="A2" t="s">
        <v>21</v>
      </c>
    </row>
    <row r="3" spans="1:15" x14ac:dyDescent="0.3">
      <c r="A3" t="s">
        <v>35</v>
      </c>
      <c r="B3" s="12" t="s">
        <v>36</v>
      </c>
      <c r="E3" s="13">
        <v>43647</v>
      </c>
      <c r="G3" t="s">
        <v>55</v>
      </c>
      <c r="H3">
        <v>3</v>
      </c>
    </row>
    <row r="4" spans="1:15" ht="28.8" x14ac:dyDescent="0.3">
      <c r="A4" s="36" t="s">
        <v>0</v>
      </c>
      <c r="B4" s="45" t="s">
        <v>1</v>
      </c>
      <c r="C4" s="37" t="s">
        <v>22</v>
      </c>
      <c r="D4" s="37" t="s">
        <v>41</v>
      </c>
      <c r="E4" s="37" t="s">
        <v>4</v>
      </c>
      <c r="F4" s="37" t="s">
        <v>38</v>
      </c>
      <c r="G4" s="37" t="s">
        <v>40</v>
      </c>
    </row>
    <row r="5" spans="1:15" x14ac:dyDescent="0.3">
      <c r="A5" s="43">
        <v>42370</v>
      </c>
      <c r="B5" s="44">
        <v>649918.78</v>
      </c>
      <c r="C5" s="44">
        <f>MONTH(A5)</f>
        <v>1</v>
      </c>
      <c r="F5" s="5">
        <f t="shared" ref="F5:F36" si="0">INDEX($O$8:$O$19, C5)</f>
        <v>1.2634175614796064</v>
      </c>
      <c r="G5" s="6">
        <f>B5/F5</f>
        <v>514413.28648215946</v>
      </c>
    </row>
    <row r="6" spans="1:15" ht="15" thickBot="1" x14ac:dyDescent="0.35">
      <c r="A6" s="23">
        <v>42401</v>
      </c>
      <c r="B6" s="3">
        <v>891098.3</v>
      </c>
      <c r="C6" s="3">
        <f t="shared" ref="C6:C66" si="1">MONTH(A6)</f>
        <v>2</v>
      </c>
      <c r="F6" s="5">
        <f t="shared" si="0"/>
        <v>1.4898147904609165</v>
      </c>
      <c r="G6" s="6">
        <f t="shared" ref="G6:G66" si="2">B6/F6</f>
        <v>598126.89852831536</v>
      </c>
    </row>
    <row r="7" spans="1:15" ht="15" thickBot="1" x14ac:dyDescent="0.35">
      <c r="A7" s="22">
        <v>42430</v>
      </c>
      <c r="B7" s="2">
        <v>338407.36</v>
      </c>
      <c r="C7" s="2">
        <f t="shared" si="1"/>
        <v>3</v>
      </c>
      <c r="F7" s="5">
        <f t="shared" si="0"/>
        <v>0.55770217908347586</v>
      </c>
      <c r="G7" s="6">
        <f t="shared" si="2"/>
        <v>606788.66372036852</v>
      </c>
      <c r="K7" s="46" t="s">
        <v>22</v>
      </c>
      <c r="L7" s="47" t="s">
        <v>0</v>
      </c>
      <c r="M7" s="47" t="s">
        <v>37</v>
      </c>
      <c r="N7" s="47" t="s">
        <v>42</v>
      </c>
      <c r="O7" s="48" t="s">
        <v>38</v>
      </c>
    </row>
    <row r="8" spans="1:15" x14ac:dyDescent="0.3">
      <c r="A8" s="23">
        <v>42461</v>
      </c>
      <c r="B8" s="3">
        <v>110591.63</v>
      </c>
      <c r="C8" s="3">
        <f t="shared" si="1"/>
        <v>4</v>
      </c>
      <c r="F8" s="5">
        <f t="shared" si="0"/>
        <v>9.3836861920854581E-2</v>
      </c>
      <c r="G8" s="6">
        <f t="shared" si="2"/>
        <v>1178552.0928148364</v>
      </c>
      <c r="K8" s="15">
        <v>1</v>
      </c>
      <c r="L8" s="10" t="s">
        <v>23</v>
      </c>
      <c r="M8">
        <f t="shared" ref="M8:M19" si="3">COUNTIFS(C5:C66,K8,A5:A66,"&lt;=" &amp; $E$3, E5:E66, "&gt;0")</f>
        <v>3</v>
      </c>
      <c r="N8" s="5">
        <f t="shared" ref="N8:N19" si="4">AVERAGEIFS(E5:E66,C5:C66,K8,A5:A66,"&lt;=" &amp; $E$3)</f>
        <v>1.2551215376059621</v>
      </c>
      <c r="O8" s="16">
        <f t="shared" ref="O8:O19" si="5">N8/AVERAGE($N$8:$N$19)</f>
        <v>1.2634175614796064</v>
      </c>
    </row>
    <row r="9" spans="1:15" x14ac:dyDescent="0.3">
      <c r="A9" s="22">
        <v>42491</v>
      </c>
      <c r="B9" s="2">
        <v>595986.18000000005</v>
      </c>
      <c r="C9" s="2">
        <f t="shared" si="1"/>
        <v>5</v>
      </c>
      <c r="F9" s="5">
        <f t="shared" si="0"/>
        <v>1.0827928889207721</v>
      </c>
      <c r="G9" s="6">
        <f t="shared" si="2"/>
        <v>550415.67607081716</v>
      </c>
      <c r="K9" s="15">
        <f>K8+1</f>
        <v>2</v>
      </c>
      <c r="L9" s="10" t="s">
        <v>24</v>
      </c>
      <c r="M9">
        <f t="shared" si="3"/>
        <v>3</v>
      </c>
      <c r="N9" s="5">
        <f t="shared" si="4"/>
        <v>1.4800321663738352</v>
      </c>
      <c r="O9" s="16">
        <f t="shared" si="5"/>
        <v>1.4898147904609165</v>
      </c>
    </row>
    <row r="10" spans="1:15" x14ac:dyDescent="0.3">
      <c r="A10" s="23">
        <v>42522</v>
      </c>
      <c r="B10" s="3">
        <v>518585.28</v>
      </c>
      <c r="C10" s="3">
        <f t="shared" si="1"/>
        <v>6</v>
      </c>
      <c r="F10" s="5">
        <f t="shared" si="0"/>
        <v>0.97911466482353871</v>
      </c>
      <c r="G10" s="6">
        <f t="shared" si="2"/>
        <v>529647.13800243428</v>
      </c>
      <c r="K10" s="15">
        <f t="shared" ref="K10:K17" si="6">K9+1</f>
        <v>3</v>
      </c>
      <c r="L10" s="10" t="s">
        <v>25</v>
      </c>
      <c r="M10">
        <f t="shared" si="3"/>
        <v>3</v>
      </c>
      <c r="N10" s="5">
        <f t="shared" si="4"/>
        <v>0.55404011933923625</v>
      </c>
      <c r="O10" s="16">
        <f t="shared" si="5"/>
        <v>0.55770217908347586</v>
      </c>
    </row>
    <row r="11" spans="1:15" x14ac:dyDescent="0.3">
      <c r="A11" s="22">
        <v>42552</v>
      </c>
      <c r="B11" s="2">
        <v>454959.83</v>
      </c>
      <c r="C11" s="2">
        <f t="shared" si="1"/>
        <v>7</v>
      </c>
      <c r="D11" s="6">
        <f>(AVERAGE(B5:B16)+AVERAGE(B6:B17))/2</f>
        <v>579740.96416666661</v>
      </c>
      <c r="E11" s="6">
        <f>B11/D11</f>
        <v>0.78476398619505872</v>
      </c>
      <c r="F11" s="5">
        <f t="shared" si="0"/>
        <v>0.85333255083444914</v>
      </c>
      <c r="G11" s="6">
        <f t="shared" si="2"/>
        <v>533156.53968093451</v>
      </c>
      <c r="K11" s="15">
        <f t="shared" si="6"/>
        <v>4</v>
      </c>
      <c r="L11" s="10" t="s">
        <v>26</v>
      </c>
      <c r="M11">
        <f t="shared" si="3"/>
        <v>3</v>
      </c>
      <c r="N11" s="5">
        <f t="shared" si="4"/>
        <v>9.3220697581796644E-2</v>
      </c>
      <c r="O11" s="16">
        <f t="shared" si="5"/>
        <v>9.3836861920854581E-2</v>
      </c>
    </row>
    <row r="12" spans="1:15" x14ac:dyDescent="0.3">
      <c r="A12" s="23">
        <v>42583</v>
      </c>
      <c r="B12" s="3">
        <v>547512.68999999994</v>
      </c>
      <c r="C12" s="3">
        <f t="shared" si="1"/>
        <v>8</v>
      </c>
      <c r="D12" s="6">
        <f t="shared" ref="D12:D60" si="7">(AVERAGE(B6:B17)+AVERAGE(B7:B18))/2</f>
        <v>574725.29374999995</v>
      </c>
      <c r="E12" s="6">
        <f t="shared" ref="E12:E60" si="8">B12/D12</f>
        <v>0.95265111167729943</v>
      </c>
      <c r="F12" s="5">
        <f t="shared" si="0"/>
        <v>0.91092864509183669</v>
      </c>
      <c r="G12" s="6">
        <f t="shared" si="2"/>
        <v>601048.93281163822</v>
      </c>
      <c r="K12" s="15">
        <f t="shared" si="6"/>
        <v>5</v>
      </c>
      <c r="L12" s="10" t="s">
        <v>27</v>
      </c>
      <c r="M12">
        <f t="shared" si="3"/>
        <v>3</v>
      </c>
      <c r="N12" s="5">
        <f t="shared" si="4"/>
        <v>1.0756829072879548</v>
      </c>
      <c r="O12" s="16">
        <f t="shared" si="5"/>
        <v>1.0827928889207721</v>
      </c>
    </row>
    <row r="13" spans="1:15" x14ac:dyDescent="0.3">
      <c r="A13" s="22">
        <v>42614</v>
      </c>
      <c r="B13" s="2">
        <v>567421.12</v>
      </c>
      <c r="C13" s="2">
        <f t="shared" si="1"/>
        <v>9</v>
      </c>
      <c r="D13" s="6">
        <f t="shared" si="7"/>
        <v>568569.84041666659</v>
      </c>
      <c r="E13" s="6">
        <f t="shared" si="8"/>
        <v>0.99797963181475691</v>
      </c>
      <c r="F13" s="5">
        <f t="shared" si="0"/>
        <v>0.98927759250581693</v>
      </c>
      <c r="G13" s="6">
        <f t="shared" si="2"/>
        <v>573571.18396135466</v>
      </c>
      <c r="K13" s="15">
        <f t="shared" si="6"/>
        <v>6</v>
      </c>
      <c r="L13" s="10" t="s">
        <v>28</v>
      </c>
      <c r="M13">
        <f t="shared" si="3"/>
        <v>3</v>
      </c>
      <c r="N13" s="5">
        <f t="shared" si="4"/>
        <v>0.97268546921785271</v>
      </c>
      <c r="O13" s="16">
        <f t="shared" si="5"/>
        <v>0.97911466482353871</v>
      </c>
    </row>
    <row r="14" spans="1:15" x14ac:dyDescent="0.3">
      <c r="A14" s="23">
        <v>42644</v>
      </c>
      <c r="B14" s="3">
        <v>623959.56999999995</v>
      </c>
      <c r="C14" s="3">
        <f t="shared" si="1"/>
        <v>10</v>
      </c>
      <c r="D14" s="6">
        <f t="shared" si="7"/>
        <v>566104.40999999992</v>
      </c>
      <c r="E14" s="6">
        <f t="shared" si="8"/>
        <v>1.1021987445743446</v>
      </c>
      <c r="F14" s="5">
        <f t="shared" si="0"/>
        <v>1.0049429687230065</v>
      </c>
      <c r="G14" s="6">
        <f t="shared" si="2"/>
        <v>620890.52754194906</v>
      </c>
      <c r="K14" s="15">
        <f t="shared" si="6"/>
        <v>7</v>
      </c>
      <c r="L14" s="10" t="s">
        <v>29</v>
      </c>
      <c r="M14">
        <f t="shared" si="3"/>
        <v>4</v>
      </c>
      <c r="N14" s="5">
        <f t="shared" si="4"/>
        <v>0.84772928281782478</v>
      </c>
      <c r="O14" s="16">
        <f t="shared" si="5"/>
        <v>0.85333255083444914</v>
      </c>
    </row>
    <row r="15" spans="1:15" x14ac:dyDescent="0.3">
      <c r="A15" s="22">
        <v>42675</v>
      </c>
      <c r="B15" s="2">
        <v>649949.36</v>
      </c>
      <c r="C15" s="2">
        <f t="shared" si="1"/>
        <v>11</v>
      </c>
      <c r="D15" s="6">
        <f t="shared" si="7"/>
        <v>564781.96083333332</v>
      </c>
      <c r="E15" s="6">
        <f t="shared" si="8"/>
        <v>1.1507969536438496</v>
      </c>
      <c r="F15" s="5">
        <f t="shared" si="0"/>
        <v>1.0813119968257763</v>
      </c>
      <c r="G15" s="6">
        <f t="shared" si="2"/>
        <v>601074.77019393642</v>
      </c>
      <c r="K15" s="15">
        <f t="shared" si="6"/>
        <v>8</v>
      </c>
      <c r="L15" s="10" t="s">
        <v>30</v>
      </c>
      <c r="M15">
        <f t="shared" si="3"/>
        <v>3</v>
      </c>
      <c r="N15" s="5">
        <f t="shared" si="4"/>
        <v>0.90494718178368228</v>
      </c>
      <c r="O15" s="16">
        <f t="shared" si="5"/>
        <v>0.91092864509183669</v>
      </c>
    </row>
    <row r="16" spans="1:15" x14ac:dyDescent="0.3">
      <c r="A16" s="23">
        <v>42705</v>
      </c>
      <c r="B16" s="3">
        <v>998403.46</v>
      </c>
      <c r="C16" s="3">
        <f t="shared" si="1"/>
        <v>12</v>
      </c>
      <c r="D16" s="6">
        <f t="shared" si="7"/>
        <v>570341.0774999999</v>
      </c>
      <c r="E16" s="6">
        <f t="shared" si="8"/>
        <v>1.7505375281337685</v>
      </c>
      <c r="F16" s="5">
        <f t="shared" si="0"/>
        <v>1.6935272993299522</v>
      </c>
      <c r="G16" s="6">
        <f t="shared" si="2"/>
        <v>589540.81247761438</v>
      </c>
      <c r="K16" s="15">
        <f>K15+1</f>
        <v>9</v>
      </c>
      <c r="L16" s="10" t="s">
        <v>31</v>
      </c>
      <c r="M16">
        <f t="shared" si="3"/>
        <v>3</v>
      </c>
      <c r="N16" s="5">
        <f t="shared" si="4"/>
        <v>0.9827816637049871</v>
      </c>
      <c r="O16" s="16">
        <f t="shared" si="5"/>
        <v>0.98927759250581693</v>
      </c>
    </row>
    <row r="17" spans="1:15" x14ac:dyDescent="0.3">
      <c r="A17" s="22">
        <v>42736</v>
      </c>
      <c r="B17" s="2">
        <v>670114.80000000005</v>
      </c>
      <c r="C17" s="2">
        <f t="shared" si="1"/>
        <v>1</v>
      </c>
      <c r="D17" s="6">
        <f t="shared" si="7"/>
        <v>577423.28208333324</v>
      </c>
      <c r="E17" s="6">
        <f t="shared" si="8"/>
        <v>1.1605261180017499</v>
      </c>
      <c r="F17" s="5">
        <f t="shared" si="0"/>
        <v>1.2634175614796064</v>
      </c>
      <c r="G17" s="6">
        <f t="shared" si="2"/>
        <v>530398.51623972913</v>
      </c>
      <c r="K17" s="15">
        <f t="shared" si="6"/>
        <v>10</v>
      </c>
      <c r="L17" s="10" t="s">
        <v>32</v>
      </c>
      <c r="M17">
        <f t="shared" si="3"/>
        <v>3</v>
      </c>
      <c r="N17" s="5">
        <f t="shared" si="4"/>
        <v>0.99834417580262536</v>
      </c>
      <c r="O17" s="16">
        <f t="shared" si="5"/>
        <v>1.0049429687230065</v>
      </c>
    </row>
    <row r="18" spans="1:15" x14ac:dyDescent="0.3">
      <c r="A18" s="23">
        <v>42767</v>
      </c>
      <c r="B18" s="3">
        <v>750526.19</v>
      </c>
      <c r="C18" s="3">
        <f t="shared" si="1"/>
        <v>2</v>
      </c>
      <c r="D18" s="6">
        <f t="shared" si="7"/>
        <v>581702.16749999998</v>
      </c>
      <c r="E18" s="6">
        <f t="shared" si="8"/>
        <v>1.2902241592558616</v>
      </c>
      <c r="F18" s="5">
        <f t="shared" si="0"/>
        <v>1.4898147904609165</v>
      </c>
      <c r="G18" s="6">
        <f t="shared" si="2"/>
        <v>503771.47200143139</v>
      </c>
      <c r="K18" s="15">
        <f>K17+1</f>
        <v>11</v>
      </c>
      <c r="L18" s="10" t="s">
        <v>33</v>
      </c>
      <c r="M18">
        <f t="shared" si="3"/>
        <v>3</v>
      </c>
      <c r="N18" s="5">
        <f t="shared" si="4"/>
        <v>1.074211739227632</v>
      </c>
      <c r="O18" s="16">
        <f t="shared" si="5"/>
        <v>1.0813119968257763</v>
      </c>
    </row>
    <row r="19" spans="1:15" ht="15" thickBot="1" x14ac:dyDescent="0.35">
      <c r="A19" s="22">
        <v>42795</v>
      </c>
      <c r="B19" s="2">
        <v>331248.59000000003</v>
      </c>
      <c r="C19" s="2">
        <f t="shared" si="1"/>
        <v>3</v>
      </c>
      <c r="D19" s="6">
        <f t="shared" si="7"/>
        <v>588569.68166666653</v>
      </c>
      <c r="E19" s="6">
        <f t="shared" si="8"/>
        <v>0.5628026728491955</v>
      </c>
      <c r="F19" s="5">
        <f t="shared" si="0"/>
        <v>0.55770217908347586</v>
      </c>
      <c r="G19" s="6">
        <f t="shared" si="2"/>
        <v>593952.47575394413</v>
      </c>
      <c r="K19" s="17">
        <f>K18+1</f>
        <v>12</v>
      </c>
      <c r="L19" s="18" t="s">
        <v>34</v>
      </c>
      <c r="M19" s="19">
        <f t="shared" si="3"/>
        <v>3</v>
      </c>
      <c r="N19" s="20">
        <f t="shared" si="4"/>
        <v>1.6824070305175922</v>
      </c>
      <c r="O19" s="21">
        <f t="shared" si="5"/>
        <v>1.6935272993299522</v>
      </c>
    </row>
    <row r="20" spans="1:15" x14ac:dyDescent="0.3">
      <c r="A20" s="23">
        <v>42826</v>
      </c>
      <c r="B20" s="3">
        <v>58580.07</v>
      </c>
      <c r="C20" s="3">
        <f t="shared" si="1"/>
        <v>4</v>
      </c>
      <c r="D20" s="6">
        <f t="shared" si="7"/>
        <v>593716.17499999981</v>
      </c>
      <c r="E20" s="6">
        <f t="shared" si="8"/>
        <v>9.8666791417633209E-2</v>
      </c>
      <c r="F20" s="5">
        <f t="shared" si="0"/>
        <v>9.3836861920854581E-2</v>
      </c>
      <c r="G20" s="6">
        <f t="shared" si="2"/>
        <v>624275.6716375337</v>
      </c>
      <c r="J20" t="s">
        <v>39</v>
      </c>
      <c r="K20" s="14">
        <f>COUNT(K8:K19)</f>
        <v>12</v>
      </c>
      <c r="L20" s="10"/>
      <c r="M20"/>
      <c r="O20" s="5">
        <f>SUM(O8:O19)</f>
        <v>12.000000000000004</v>
      </c>
    </row>
    <row r="21" spans="1:15" x14ac:dyDescent="0.3">
      <c r="A21" s="22">
        <v>42856</v>
      </c>
      <c r="B21" s="2">
        <v>616258.96</v>
      </c>
      <c r="C21" s="2">
        <f t="shared" si="1"/>
        <v>5</v>
      </c>
      <c r="D21" s="6">
        <f t="shared" si="7"/>
        <v>594146.82041666657</v>
      </c>
      <c r="E21" s="6">
        <f t="shared" si="8"/>
        <v>1.0372166252910795</v>
      </c>
      <c r="F21" s="5">
        <f t="shared" si="0"/>
        <v>1.0827928889207721</v>
      </c>
      <c r="G21" s="6">
        <f t="shared" si="2"/>
        <v>569138.35166966228</v>
      </c>
    </row>
    <row r="22" spans="1:15" x14ac:dyDescent="0.3">
      <c r="A22" s="23">
        <v>42887</v>
      </c>
      <c r="B22" s="3">
        <v>631731.30000000005</v>
      </c>
      <c r="C22" s="3">
        <f t="shared" si="1"/>
        <v>6</v>
      </c>
      <c r="D22" s="6">
        <f t="shared" si="7"/>
        <v>606419.62208333332</v>
      </c>
      <c r="E22" s="6">
        <f t="shared" si="8"/>
        <v>1.0417395430406908</v>
      </c>
      <c r="F22" s="5">
        <f t="shared" si="0"/>
        <v>0.97911466482353871</v>
      </c>
      <c r="G22" s="6">
        <f t="shared" si="2"/>
        <v>645206.65729570505</v>
      </c>
      <c r="K22" s="26" t="s">
        <v>53</v>
      </c>
      <c r="M22" s="27">
        <f>AVERAGE(G64:G66)</f>
        <v>381339.14068980265</v>
      </c>
      <c r="O22" s="25" t="s">
        <v>68</v>
      </c>
    </row>
    <row r="23" spans="1:15" x14ac:dyDescent="0.3">
      <c r="A23" s="22">
        <v>42917</v>
      </c>
      <c r="B23" s="2">
        <v>511786.72</v>
      </c>
      <c r="C23" s="2">
        <f t="shared" si="1"/>
        <v>7</v>
      </c>
      <c r="D23" s="6">
        <f t="shared" si="7"/>
        <v>628741.87875000003</v>
      </c>
      <c r="E23" s="6">
        <f t="shared" si="8"/>
        <v>0.81398541642793343</v>
      </c>
      <c r="F23" s="5">
        <f t="shared" si="0"/>
        <v>0.85333255083444914</v>
      </c>
      <c r="G23" s="6">
        <f t="shared" si="2"/>
        <v>599750.61246584181</v>
      </c>
      <c r="K23" s="26" t="s">
        <v>56</v>
      </c>
      <c r="M23" s="28">
        <v>44228</v>
      </c>
    </row>
    <row r="24" spans="1:15" x14ac:dyDescent="0.3">
      <c r="A24" s="23">
        <v>42948</v>
      </c>
      <c r="B24" s="3">
        <v>593379.05000000005</v>
      </c>
      <c r="C24" s="3">
        <f t="shared" si="1"/>
        <v>8</v>
      </c>
      <c r="D24" s="6">
        <f t="shared" si="7"/>
        <v>663774.25625000009</v>
      </c>
      <c r="E24" s="6">
        <f t="shared" si="8"/>
        <v>0.89394706771591514</v>
      </c>
      <c r="F24" s="5">
        <f t="shared" si="0"/>
        <v>0.91092864509183669</v>
      </c>
      <c r="G24" s="6">
        <f t="shared" si="2"/>
        <v>651400.14335609961</v>
      </c>
    </row>
    <row r="25" spans="1:15" x14ac:dyDescent="0.3">
      <c r="A25" s="22">
        <v>42979</v>
      </c>
      <c r="B25" s="2">
        <v>686375.1</v>
      </c>
      <c r="C25" s="2">
        <f t="shared" si="1"/>
        <v>9</v>
      </c>
      <c r="D25" s="6">
        <f t="shared" si="7"/>
        <v>692837.55083333328</v>
      </c>
      <c r="E25" s="6">
        <f t="shared" si="8"/>
        <v>0.99067248761912463</v>
      </c>
      <c r="F25" s="5">
        <f t="shared" si="0"/>
        <v>0.98927759250581693</v>
      </c>
      <c r="G25" s="6">
        <f t="shared" si="2"/>
        <v>693814.46138027648</v>
      </c>
    </row>
    <row r="26" spans="1:15" x14ac:dyDescent="0.3">
      <c r="A26" s="23">
        <v>43009</v>
      </c>
      <c r="B26" s="3">
        <v>628521.43000000005</v>
      </c>
      <c r="C26" s="3">
        <f t="shared" si="1"/>
        <v>10</v>
      </c>
      <c r="D26" s="6">
        <f t="shared" si="7"/>
        <v>697660.46875</v>
      </c>
      <c r="E26" s="6">
        <f t="shared" si="8"/>
        <v>0.9008987296157448</v>
      </c>
      <c r="F26" s="5">
        <f t="shared" si="0"/>
        <v>1.0049429687230065</v>
      </c>
      <c r="G26" s="6">
        <f t="shared" si="2"/>
        <v>625429.94932206953</v>
      </c>
    </row>
    <row r="27" spans="1:15" x14ac:dyDescent="0.3">
      <c r="A27" s="22">
        <v>43040</v>
      </c>
      <c r="B27" s="2">
        <v>655722.99</v>
      </c>
      <c r="C27" s="2">
        <f t="shared" si="1"/>
        <v>11</v>
      </c>
      <c r="D27" s="6">
        <f t="shared" si="7"/>
        <v>717204.38833333342</v>
      </c>
      <c r="E27" s="6">
        <f t="shared" si="8"/>
        <v>0.91427632159891514</v>
      </c>
      <c r="F27" s="5">
        <f t="shared" si="0"/>
        <v>1.0813119968257763</v>
      </c>
      <c r="G27" s="6">
        <f t="shared" si="2"/>
        <v>606414.23744940816</v>
      </c>
    </row>
    <row r="28" spans="1:15" x14ac:dyDescent="0.3">
      <c r="A28" s="23">
        <v>43070</v>
      </c>
      <c r="B28" s="3">
        <v>1287177.07</v>
      </c>
      <c r="C28" s="3">
        <f t="shared" si="1"/>
        <v>12</v>
      </c>
      <c r="D28" s="6">
        <f t="shared" si="7"/>
        <v>750506.49791666679</v>
      </c>
      <c r="E28" s="6">
        <f t="shared" si="8"/>
        <v>1.7150778488568437</v>
      </c>
      <c r="F28" s="5">
        <f t="shared" si="0"/>
        <v>1.6935272993299522</v>
      </c>
      <c r="G28" s="6">
        <f t="shared" si="2"/>
        <v>760056.8768565316</v>
      </c>
    </row>
    <row r="29" spans="1:15" x14ac:dyDescent="0.3">
      <c r="A29" s="22">
        <v>43101</v>
      </c>
      <c r="B29" s="2">
        <v>917075.35</v>
      </c>
      <c r="C29" s="2">
        <f t="shared" si="1"/>
        <v>1</v>
      </c>
      <c r="D29" s="6">
        <f t="shared" si="7"/>
        <v>783615.1133333334</v>
      </c>
      <c r="E29" s="6">
        <f t="shared" si="8"/>
        <v>1.1703135051836289</v>
      </c>
      <c r="F29" s="5">
        <f t="shared" si="0"/>
        <v>1.2634175614796064</v>
      </c>
      <c r="G29" s="6">
        <f t="shared" si="2"/>
        <v>725868.76893336826</v>
      </c>
    </row>
    <row r="30" spans="1:15" x14ac:dyDescent="0.3">
      <c r="A30" s="23">
        <v>43132</v>
      </c>
      <c r="B30" s="3">
        <v>1344342.7</v>
      </c>
      <c r="C30" s="3">
        <f t="shared" si="1"/>
        <v>2</v>
      </c>
      <c r="D30" s="6">
        <f t="shared" si="7"/>
        <v>820524.6725000001</v>
      </c>
      <c r="E30" s="6">
        <f t="shared" si="8"/>
        <v>1.6383939996636723</v>
      </c>
      <c r="F30" s="5">
        <f t="shared" si="0"/>
        <v>1.4898147904609165</v>
      </c>
      <c r="G30" s="6">
        <f t="shared" si="2"/>
        <v>902355.58715596411</v>
      </c>
    </row>
    <row r="31" spans="1:15" x14ac:dyDescent="0.3">
      <c r="A31" s="22">
        <v>43160</v>
      </c>
      <c r="B31" s="2">
        <v>434951.15</v>
      </c>
      <c r="C31" s="2">
        <f t="shared" si="1"/>
        <v>3</v>
      </c>
      <c r="D31" s="6">
        <f t="shared" si="7"/>
        <v>859227.03583333339</v>
      </c>
      <c r="E31" s="6">
        <f t="shared" si="8"/>
        <v>0.50621213237099383</v>
      </c>
      <c r="F31" s="5">
        <f t="shared" si="0"/>
        <v>0.55770217908347586</v>
      </c>
      <c r="G31" s="6">
        <f t="shared" si="2"/>
        <v>779898.60235940968</v>
      </c>
    </row>
    <row r="32" spans="1:15" x14ac:dyDescent="0.3">
      <c r="A32" s="23">
        <v>43191</v>
      </c>
      <c r="B32" s="3">
        <v>70627.539999999994</v>
      </c>
      <c r="C32" s="3">
        <f t="shared" si="1"/>
        <v>4</v>
      </c>
      <c r="D32" s="6">
        <f t="shared" si="7"/>
        <v>905418.64583333349</v>
      </c>
      <c r="E32" s="6">
        <f t="shared" si="8"/>
        <v>7.800539598452326E-2</v>
      </c>
      <c r="F32" s="5">
        <f t="shared" si="0"/>
        <v>9.3836861920854581E-2</v>
      </c>
      <c r="G32" s="6">
        <f t="shared" si="2"/>
        <v>752663.06389881007</v>
      </c>
    </row>
    <row r="33" spans="1:7" x14ac:dyDescent="0.3">
      <c r="A33" s="22">
        <v>43221</v>
      </c>
      <c r="B33" s="2">
        <v>1073265.56</v>
      </c>
      <c r="C33" s="2">
        <f t="shared" si="1"/>
        <v>5</v>
      </c>
      <c r="D33" s="6">
        <f t="shared" si="7"/>
        <v>965231.6558333335</v>
      </c>
      <c r="E33" s="6">
        <f t="shared" si="8"/>
        <v>1.1119253637339477</v>
      </c>
      <c r="F33" s="5">
        <f t="shared" si="0"/>
        <v>1.0827928889207721</v>
      </c>
      <c r="G33" s="6">
        <f t="shared" si="2"/>
        <v>991201.15303835436</v>
      </c>
    </row>
    <row r="34" spans="1:7" x14ac:dyDescent="0.3">
      <c r="A34" s="23">
        <v>43252</v>
      </c>
      <c r="B34" s="3">
        <v>973975.33</v>
      </c>
      <c r="C34" s="3">
        <f t="shared" si="1"/>
        <v>6</v>
      </c>
      <c r="D34" s="6">
        <f t="shared" si="7"/>
        <v>1032620.5145833334</v>
      </c>
      <c r="E34" s="6">
        <f t="shared" si="8"/>
        <v>0.94320741864498303</v>
      </c>
      <c r="F34" s="5">
        <f t="shared" si="0"/>
        <v>0.97911466482353871</v>
      </c>
      <c r="G34" s="6">
        <f t="shared" si="2"/>
        <v>994751.03886380361</v>
      </c>
    </row>
    <row r="35" spans="1:7" x14ac:dyDescent="0.3">
      <c r="A35" s="22">
        <v>43282</v>
      </c>
      <c r="B35" s="2">
        <v>964149.46</v>
      </c>
      <c r="C35" s="2">
        <f t="shared" si="1"/>
        <v>7</v>
      </c>
      <c r="D35" s="6">
        <f t="shared" si="7"/>
        <v>1108406.0641666665</v>
      </c>
      <c r="E35" s="6">
        <f t="shared" si="8"/>
        <v>0.86985220594663293</v>
      </c>
      <c r="F35" s="5">
        <f t="shared" si="0"/>
        <v>0.85333255083444914</v>
      </c>
      <c r="G35" s="6">
        <f t="shared" si="2"/>
        <v>1129863.6845121942</v>
      </c>
    </row>
    <row r="36" spans="1:7" x14ac:dyDescent="0.3">
      <c r="A36" s="23">
        <v>43313</v>
      </c>
      <c r="B36" s="3">
        <v>1026845.73</v>
      </c>
      <c r="C36" s="3">
        <f t="shared" si="1"/>
        <v>8</v>
      </c>
      <c r="D36" s="6">
        <f t="shared" si="7"/>
        <v>1182670.4012499999</v>
      </c>
      <c r="E36" s="6">
        <f t="shared" si="8"/>
        <v>0.86824336595783225</v>
      </c>
      <c r="F36" s="5">
        <f t="shared" si="0"/>
        <v>0.91092864509183669</v>
      </c>
      <c r="G36" s="6">
        <f t="shared" si="2"/>
        <v>1127251.5531625168</v>
      </c>
    </row>
    <row r="37" spans="1:7" x14ac:dyDescent="0.3">
      <c r="A37" s="22">
        <v>43344</v>
      </c>
      <c r="B37" s="2">
        <v>1181765.1399999999</v>
      </c>
      <c r="C37" s="2">
        <f t="shared" si="1"/>
        <v>9</v>
      </c>
      <c r="D37" s="6">
        <f t="shared" si="7"/>
        <v>1231399.31</v>
      </c>
      <c r="E37" s="6">
        <f t="shared" si="8"/>
        <v>0.95969287168107953</v>
      </c>
      <c r="F37" s="5">
        <f t="shared" ref="F37:F66" si="9">INDEX($O$8:$O$19, C37)</f>
        <v>0.98927759250581693</v>
      </c>
      <c r="G37" s="6">
        <f t="shared" si="2"/>
        <v>1194573.8475755996</v>
      </c>
    </row>
    <row r="38" spans="1:7" x14ac:dyDescent="0.3">
      <c r="A38" s="23">
        <v>43374</v>
      </c>
      <c r="B38" s="3">
        <v>1241730.03</v>
      </c>
      <c r="C38" s="3">
        <f t="shared" si="1"/>
        <v>10</v>
      </c>
      <c r="D38" s="6">
        <f t="shared" si="7"/>
        <v>1251825.9395833334</v>
      </c>
      <c r="E38" s="6">
        <f t="shared" si="8"/>
        <v>0.99193505321778697</v>
      </c>
      <c r="F38" s="5">
        <f t="shared" si="9"/>
        <v>1.0049429687230065</v>
      </c>
      <c r="G38" s="6">
        <f t="shared" si="2"/>
        <v>1235622.3871866895</v>
      </c>
    </row>
    <row r="39" spans="1:7" x14ac:dyDescent="0.3">
      <c r="A39" s="22">
        <v>43405</v>
      </c>
      <c r="B39" s="2">
        <v>1478026.63</v>
      </c>
      <c r="C39" s="2">
        <f t="shared" si="1"/>
        <v>11</v>
      </c>
      <c r="D39" s="6">
        <f t="shared" si="7"/>
        <v>1276844.5262500001</v>
      </c>
      <c r="E39" s="6">
        <f t="shared" si="8"/>
        <v>1.1575619424401318</v>
      </c>
      <c r="F39" s="5">
        <f t="shared" si="9"/>
        <v>1.0813119968257763</v>
      </c>
      <c r="G39" s="6">
        <f t="shared" si="2"/>
        <v>1366882.6706249365</v>
      </c>
    </row>
    <row r="40" spans="1:7" x14ac:dyDescent="0.3">
      <c r="A40" s="23">
        <v>43435</v>
      </c>
      <c r="B40" s="3">
        <v>2082206.04</v>
      </c>
      <c r="C40" s="3">
        <f t="shared" si="1"/>
        <v>12</v>
      </c>
      <c r="D40" s="6">
        <f t="shared" si="7"/>
        <v>1316513.9837500001</v>
      </c>
      <c r="E40" s="6">
        <f t="shared" si="8"/>
        <v>1.581605714562164</v>
      </c>
      <c r="F40" s="5">
        <f t="shared" si="9"/>
        <v>1.6935272993299522</v>
      </c>
      <c r="G40" s="6">
        <f t="shared" si="2"/>
        <v>1229508.3999081855</v>
      </c>
    </row>
    <row r="41" spans="1:7" x14ac:dyDescent="0.3">
      <c r="A41" s="22">
        <v>43466</v>
      </c>
      <c r="B41" s="2">
        <v>1940899.57</v>
      </c>
      <c r="C41" s="2">
        <f t="shared" si="1"/>
        <v>1</v>
      </c>
      <c r="D41" s="6">
        <f t="shared" si="7"/>
        <v>1352991.1183333336</v>
      </c>
      <c r="E41" s="6">
        <f t="shared" si="8"/>
        <v>1.4345249896325074</v>
      </c>
      <c r="F41" s="5">
        <f t="shared" si="9"/>
        <v>1.2634175614796064</v>
      </c>
      <c r="G41" s="6">
        <f t="shared" si="2"/>
        <v>1536229.6909400127</v>
      </c>
    </row>
    <row r="42" spans="1:7" x14ac:dyDescent="0.3">
      <c r="A42" s="23">
        <v>43497</v>
      </c>
      <c r="B42" s="3">
        <v>2102862.5699999998</v>
      </c>
      <c r="C42" s="3">
        <f t="shared" si="1"/>
        <v>2</v>
      </c>
      <c r="D42" s="6">
        <f t="shared" si="7"/>
        <v>1391262.1266666669</v>
      </c>
      <c r="E42" s="6">
        <f t="shared" si="8"/>
        <v>1.5114783402019722</v>
      </c>
      <c r="F42" s="5">
        <f t="shared" si="9"/>
        <v>1.4898147904609165</v>
      </c>
      <c r="G42" s="6">
        <f t="shared" si="2"/>
        <v>1411492.6120107986</v>
      </c>
    </row>
    <row r="43" spans="1:7" x14ac:dyDescent="0.3">
      <c r="A43" s="22">
        <v>43525</v>
      </c>
      <c r="B43" s="2">
        <v>845925.09</v>
      </c>
      <c r="C43" s="2">
        <f t="shared" si="1"/>
        <v>3</v>
      </c>
      <c r="D43" s="6">
        <f t="shared" si="7"/>
        <v>1426263.9862500001</v>
      </c>
      <c r="E43" s="6">
        <f t="shared" si="8"/>
        <v>0.59310555279751942</v>
      </c>
      <c r="F43" s="5">
        <f t="shared" si="9"/>
        <v>0.55770217908347586</v>
      </c>
      <c r="G43" s="6">
        <f t="shared" si="2"/>
        <v>1516804.3477796479</v>
      </c>
    </row>
    <row r="44" spans="1:7" x14ac:dyDescent="0.3">
      <c r="A44" s="23">
        <v>43556</v>
      </c>
      <c r="B44" s="3">
        <v>149892.71</v>
      </c>
      <c r="C44" s="3">
        <f t="shared" si="1"/>
        <v>4</v>
      </c>
      <c r="D44" s="6">
        <f t="shared" si="7"/>
        <v>1455411.6687500002</v>
      </c>
      <c r="E44" s="6">
        <f t="shared" si="8"/>
        <v>0.10298990534323348</v>
      </c>
      <c r="F44" s="5">
        <f t="shared" si="9"/>
        <v>9.3836861920854581E-2</v>
      </c>
      <c r="G44" s="6">
        <f t="shared" si="2"/>
        <v>1597375.5614976229</v>
      </c>
    </row>
    <row r="45" spans="1:7" x14ac:dyDescent="0.3">
      <c r="A45" s="22">
        <v>43586</v>
      </c>
      <c r="B45" s="2">
        <v>1594446.47</v>
      </c>
      <c r="C45" s="2">
        <f t="shared" si="1"/>
        <v>5</v>
      </c>
      <c r="D45" s="6">
        <f t="shared" si="7"/>
        <v>1479206.3370833334</v>
      </c>
      <c r="E45" s="6">
        <f t="shared" si="8"/>
        <v>1.0779067328388374</v>
      </c>
      <c r="F45" s="5">
        <f t="shared" si="9"/>
        <v>1.0827928889207721</v>
      </c>
      <c r="G45" s="6">
        <f t="shared" si="2"/>
        <v>1472531.3458506335</v>
      </c>
    </row>
    <row r="46" spans="1:7" x14ac:dyDescent="0.3">
      <c r="A46" s="23">
        <v>43617</v>
      </c>
      <c r="B46" s="3">
        <v>1404861.4</v>
      </c>
      <c r="C46" s="3">
        <f t="shared" si="1"/>
        <v>6</v>
      </c>
      <c r="D46" s="6">
        <f t="shared" si="7"/>
        <v>1505569.7979166666</v>
      </c>
      <c r="E46" s="6">
        <f t="shared" si="8"/>
        <v>0.93310944596788403</v>
      </c>
      <c r="F46" s="5">
        <f t="shared" si="9"/>
        <v>0.97911466482353871</v>
      </c>
      <c r="G46" s="6">
        <f t="shared" si="2"/>
        <v>1434828.2693255253</v>
      </c>
    </row>
    <row r="47" spans="1:7" x14ac:dyDescent="0.3">
      <c r="A47" s="22">
        <v>43647</v>
      </c>
      <c r="B47" s="2">
        <v>1408714.62</v>
      </c>
      <c r="C47" s="2">
        <f t="shared" si="1"/>
        <v>7</v>
      </c>
      <c r="D47" s="6">
        <f t="shared" si="7"/>
        <v>1527367.3545833332</v>
      </c>
      <c r="E47" s="6">
        <f t="shared" si="8"/>
        <v>0.92231552270167405</v>
      </c>
      <c r="F47" s="5">
        <f t="shared" si="9"/>
        <v>0.85333255083444914</v>
      </c>
      <c r="G47" s="6">
        <f t="shared" si="2"/>
        <v>1650838.95911677</v>
      </c>
    </row>
    <row r="48" spans="1:7" x14ac:dyDescent="0.3">
      <c r="A48" s="23">
        <v>43678</v>
      </c>
      <c r="B48" s="3">
        <v>1500784.77</v>
      </c>
      <c r="C48" s="3">
        <f t="shared" si="1"/>
        <v>8</v>
      </c>
      <c r="D48" s="6">
        <f t="shared" si="7"/>
        <v>1537891.0441666669</v>
      </c>
      <c r="E48" s="6">
        <f t="shared" si="8"/>
        <v>0.97587197460612463</v>
      </c>
      <c r="F48" s="5">
        <f t="shared" si="9"/>
        <v>0.91092864509183669</v>
      </c>
      <c r="G48" s="6">
        <f t="shared" si="2"/>
        <v>1647532.743740533</v>
      </c>
    </row>
    <row r="49" spans="1:7" x14ac:dyDescent="0.3">
      <c r="A49" s="22">
        <v>43709</v>
      </c>
      <c r="B49" s="2">
        <v>1547870.73</v>
      </c>
      <c r="C49" s="2">
        <f t="shared" si="1"/>
        <v>9</v>
      </c>
      <c r="D49" s="6">
        <f t="shared" si="7"/>
        <v>1535956.9845833336</v>
      </c>
      <c r="E49" s="6">
        <f t="shared" si="8"/>
        <v>1.0077565618934949</v>
      </c>
      <c r="F49" s="5">
        <f t="shared" si="9"/>
        <v>0.98927759250581693</v>
      </c>
      <c r="G49" s="6">
        <f t="shared" si="2"/>
        <v>1564647.5182757145</v>
      </c>
    </row>
    <row r="50" spans="1:7" x14ac:dyDescent="0.3">
      <c r="A50" s="23">
        <v>43739</v>
      </c>
      <c r="B50" s="3">
        <v>1575168.82</v>
      </c>
      <c r="C50" s="3">
        <f t="shared" si="1"/>
        <v>10</v>
      </c>
      <c r="D50" s="6">
        <f t="shared" si="7"/>
        <v>1531657.6079166667</v>
      </c>
      <c r="E50" s="6">
        <f t="shared" si="8"/>
        <v>1.0284079234539347</v>
      </c>
      <c r="F50" s="5">
        <f t="shared" si="9"/>
        <v>1.0049429687230065</v>
      </c>
      <c r="G50" s="6">
        <f t="shared" si="2"/>
        <v>1567421.106494816</v>
      </c>
    </row>
    <row r="51" spans="1:7" x14ac:dyDescent="0.3">
      <c r="A51" s="22">
        <v>43770</v>
      </c>
      <c r="B51" s="2">
        <v>1715659.88</v>
      </c>
      <c r="C51" s="2">
        <f t="shared" si="1"/>
        <v>11</v>
      </c>
      <c r="D51" s="6">
        <f t="shared" si="7"/>
        <v>1504629.6724999999</v>
      </c>
      <c r="E51" s="6">
        <f t="shared" si="8"/>
        <v>1.1402539185269192</v>
      </c>
      <c r="F51" s="5">
        <f t="shared" si="9"/>
        <v>1.0813119968257763</v>
      </c>
      <c r="G51" s="6">
        <f t="shared" si="2"/>
        <v>1586646.4859692398</v>
      </c>
    </row>
    <row r="52" spans="1:7" x14ac:dyDescent="0.3">
      <c r="A52" s="23">
        <v>43800</v>
      </c>
      <c r="B52" s="3">
        <v>2477295.85</v>
      </c>
      <c r="C52" s="3">
        <f t="shared" si="1"/>
        <v>12</v>
      </c>
      <c r="D52" s="6">
        <f t="shared" si="7"/>
        <v>1448071.4220833331</v>
      </c>
      <c r="E52" s="6">
        <f t="shared" si="8"/>
        <v>1.7107552930199581</v>
      </c>
      <c r="F52" s="5">
        <f t="shared" si="9"/>
        <v>1.6935272993299522</v>
      </c>
      <c r="G52" s="6">
        <f t="shared" si="2"/>
        <v>1462802.4307492108</v>
      </c>
    </row>
    <row r="53" spans="1:7" x14ac:dyDescent="0.3">
      <c r="A53" s="22">
        <v>43831</v>
      </c>
      <c r="B53" s="2">
        <v>2068951.12</v>
      </c>
      <c r="C53" s="2">
        <f t="shared" si="1"/>
        <v>1</v>
      </c>
      <c r="D53" s="6">
        <f t="shared" si="7"/>
        <v>1384034.4383333335</v>
      </c>
      <c r="E53" s="6">
        <f t="shared" si="8"/>
        <v>1.4948696814881639</v>
      </c>
      <c r="F53" s="5">
        <f t="shared" si="9"/>
        <v>1.2634175614796064</v>
      </c>
      <c r="G53" s="6">
        <f t="shared" si="2"/>
        <v>1637582.9995405651</v>
      </c>
    </row>
    <row r="54" spans="1:7" x14ac:dyDescent="0.3">
      <c r="A54" s="23">
        <v>43862</v>
      </c>
      <c r="B54" s="3">
        <v>2227379.5699999998</v>
      </c>
      <c r="C54" s="3">
        <f t="shared" si="1"/>
        <v>2</v>
      </c>
      <c r="D54" s="6">
        <f t="shared" si="7"/>
        <v>1301532.4745833334</v>
      </c>
      <c r="E54" s="6">
        <f t="shared" si="8"/>
        <v>1.7113515133097719</v>
      </c>
      <c r="F54" s="5">
        <f t="shared" si="9"/>
        <v>1.4898147904609165</v>
      </c>
      <c r="G54" s="6">
        <f t="shared" si="2"/>
        <v>1495071.4573795423</v>
      </c>
    </row>
    <row r="55" spans="1:7" x14ac:dyDescent="0.3">
      <c r="A55" s="22">
        <v>43891</v>
      </c>
      <c r="B55" s="2">
        <v>674990.66</v>
      </c>
      <c r="C55" s="2">
        <f t="shared" si="1"/>
        <v>3</v>
      </c>
      <c r="D55" s="6">
        <f t="shared" si="7"/>
        <v>1207716.7704166668</v>
      </c>
      <c r="E55" s="6">
        <f t="shared" si="8"/>
        <v>0.55889814278816863</v>
      </c>
      <c r="F55" s="5">
        <f t="shared" si="9"/>
        <v>0.55770217908347586</v>
      </c>
      <c r="G55" s="6">
        <f t="shared" si="2"/>
        <v>1210306.6570571328</v>
      </c>
    </row>
    <row r="56" spans="1:7" x14ac:dyDescent="0.3">
      <c r="A56" s="23">
        <v>43922</v>
      </c>
      <c r="B56" s="3">
        <v>217642.1</v>
      </c>
      <c r="C56" s="3">
        <f t="shared" si="1"/>
        <v>4</v>
      </c>
      <c r="D56" s="6">
        <f t="shared" si="7"/>
        <v>1103676.7520833332</v>
      </c>
      <c r="E56" s="6">
        <f t="shared" si="8"/>
        <v>0.19719732212277941</v>
      </c>
      <c r="F56" s="5">
        <f t="shared" si="9"/>
        <v>9.3836861920854581E-2</v>
      </c>
      <c r="G56" s="6">
        <f t="shared" si="2"/>
        <v>2319366.777030196</v>
      </c>
    </row>
    <row r="57" spans="1:7" x14ac:dyDescent="0.3">
      <c r="A57" s="22">
        <v>43952</v>
      </c>
      <c r="B57" s="2">
        <v>878026.63</v>
      </c>
      <c r="C57" s="2">
        <f t="shared" si="1"/>
        <v>5</v>
      </c>
      <c r="D57" s="6">
        <f t="shared" si="7"/>
        <v>987490.08166666678</v>
      </c>
      <c r="E57" s="6">
        <f t="shared" si="8"/>
        <v>0.88914982165500189</v>
      </c>
      <c r="F57" s="5">
        <f t="shared" si="9"/>
        <v>1.0827928889207721</v>
      </c>
      <c r="G57" s="6">
        <f t="shared" si="2"/>
        <v>810890.65045036993</v>
      </c>
    </row>
    <row r="58" spans="1:7" x14ac:dyDescent="0.3">
      <c r="A58" s="23">
        <v>43983</v>
      </c>
      <c r="B58" s="3">
        <v>763883.23</v>
      </c>
      <c r="C58" s="3">
        <f t="shared" si="1"/>
        <v>6</v>
      </c>
      <c r="D58" s="6">
        <f t="shared" si="7"/>
        <v>850626.40374999994</v>
      </c>
      <c r="E58" s="6">
        <f t="shared" si="8"/>
        <v>0.89802435785252921</v>
      </c>
      <c r="F58" s="5">
        <f t="shared" si="9"/>
        <v>0.97911466482353871</v>
      </c>
      <c r="G58" s="6">
        <f t="shared" si="2"/>
        <v>780177.49855444266</v>
      </c>
    </row>
    <row r="59" spans="1:7" x14ac:dyDescent="0.3">
      <c r="A59" s="22">
        <v>44013</v>
      </c>
      <c r="B59" s="2">
        <v>512805.18</v>
      </c>
      <c r="C59" s="2">
        <f t="shared" si="1"/>
        <v>7</v>
      </c>
      <c r="D59" s="6">
        <f t="shared" si="7"/>
        <v>709722.28083333315</v>
      </c>
      <c r="E59" s="6">
        <f t="shared" si="8"/>
        <v>0.72254344248271396</v>
      </c>
      <c r="F59" s="5">
        <f t="shared" si="9"/>
        <v>0.85333255083444914</v>
      </c>
      <c r="G59" s="6">
        <f t="shared" si="2"/>
        <v>600944.12137277867</v>
      </c>
    </row>
    <row r="60" spans="1:7" x14ac:dyDescent="0.3">
      <c r="A60" s="23">
        <v>44044</v>
      </c>
      <c r="B60" s="3">
        <v>416647.08</v>
      </c>
      <c r="C60" s="3">
        <f t="shared" si="1"/>
        <v>8</v>
      </c>
      <c r="D60" s="6">
        <f t="shared" si="7"/>
        <v>574012.18874999997</v>
      </c>
      <c r="E60" s="6">
        <f t="shared" si="8"/>
        <v>0.72585057977133427</v>
      </c>
      <c r="F60" s="5">
        <f t="shared" si="9"/>
        <v>0.91092864509183669</v>
      </c>
      <c r="G60" s="6">
        <f t="shared" si="2"/>
        <v>457387.17543347768</v>
      </c>
    </row>
    <row r="61" spans="1:7" x14ac:dyDescent="0.3">
      <c r="A61" s="22">
        <v>44075</v>
      </c>
      <c r="B61" s="2">
        <v>380431.52</v>
      </c>
      <c r="C61" s="2">
        <f t="shared" si="1"/>
        <v>9</v>
      </c>
      <c r="E61" s="6"/>
      <c r="F61" s="5">
        <f t="shared" si="9"/>
        <v>0.98927759250581693</v>
      </c>
      <c r="G61" s="6">
        <f t="shared" si="2"/>
        <v>384554.87406358402</v>
      </c>
    </row>
    <row r="62" spans="1:7" x14ac:dyDescent="0.3">
      <c r="A62" s="23">
        <v>44105</v>
      </c>
      <c r="B62" s="3">
        <v>245647.59</v>
      </c>
      <c r="C62" s="3">
        <f t="shared" si="1"/>
        <v>10</v>
      </c>
      <c r="E62" s="6"/>
      <c r="F62" s="5">
        <f t="shared" si="9"/>
        <v>1.0049429687230065</v>
      </c>
      <c r="G62" s="6">
        <f t="shared" si="2"/>
        <v>244439.33401728005</v>
      </c>
    </row>
    <row r="63" spans="1:7" x14ac:dyDescent="0.3">
      <c r="A63" s="22">
        <v>44136</v>
      </c>
      <c r="B63" s="2">
        <v>256701.02</v>
      </c>
      <c r="C63" s="2">
        <f t="shared" si="1"/>
        <v>11</v>
      </c>
      <c r="E63" s="6"/>
      <c r="F63" s="5">
        <f t="shared" si="9"/>
        <v>1.0813119968257763</v>
      </c>
      <c r="G63" s="6">
        <f t="shared" si="2"/>
        <v>237397.73604061874</v>
      </c>
    </row>
    <row r="64" spans="1:7" x14ac:dyDescent="0.3">
      <c r="A64" s="23">
        <v>44166</v>
      </c>
      <c r="B64" s="3">
        <v>651526.43999999994</v>
      </c>
      <c r="C64" s="3">
        <f t="shared" si="1"/>
        <v>12</v>
      </c>
      <c r="E64" s="6"/>
      <c r="F64" s="5">
        <f t="shared" si="9"/>
        <v>1.6935272993299522</v>
      </c>
      <c r="G64" s="6">
        <f t="shared" si="2"/>
        <v>384715.64069724642</v>
      </c>
    </row>
    <row r="65" spans="1:7" x14ac:dyDescent="0.3">
      <c r="A65" s="22">
        <v>44197</v>
      </c>
      <c r="B65" s="2">
        <v>513021.58</v>
      </c>
      <c r="C65" s="2">
        <f t="shared" si="1"/>
        <v>1</v>
      </c>
      <c r="E65" s="6"/>
      <c r="F65" s="5">
        <f t="shared" si="9"/>
        <v>1.2634175614796064</v>
      </c>
      <c r="G65" s="6">
        <f t="shared" si="2"/>
        <v>406058.61089914967</v>
      </c>
    </row>
    <row r="66" spans="1:7" ht="15" thickBot="1" x14ac:dyDescent="0.35">
      <c r="A66" s="24">
        <v>44228</v>
      </c>
      <c r="B66" s="4">
        <v>526266.9</v>
      </c>
      <c r="C66" s="4">
        <f t="shared" si="1"/>
        <v>2</v>
      </c>
      <c r="E66" s="6"/>
      <c r="F66" s="5">
        <f t="shared" si="9"/>
        <v>1.4898147904609165</v>
      </c>
      <c r="G66" s="6">
        <f t="shared" si="2"/>
        <v>353243.17047301191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C1B2-EE3D-4E1E-9688-0D845142EF5B}">
  <dimension ref="A1:H97"/>
  <sheetViews>
    <sheetView showGridLines="0" topLeftCell="A49" zoomScale="85" zoomScaleNormal="85" workbookViewId="0">
      <selection activeCell="D97" sqref="D97"/>
    </sheetView>
  </sheetViews>
  <sheetFormatPr defaultRowHeight="14.4" x14ac:dyDescent="0.3"/>
  <cols>
    <col min="1" max="1" width="12.33203125" bestFit="1" customWidth="1"/>
    <col min="2" max="2" width="17.6640625" bestFit="1" customWidth="1"/>
    <col min="3" max="3" width="13.44140625" bestFit="1" customWidth="1"/>
    <col min="4" max="4" width="24" customWidth="1"/>
    <col min="5" max="5" width="31.6640625" bestFit="1" customWidth="1"/>
    <col min="6" max="6" width="31.88671875" bestFit="1" customWidth="1"/>
    <col min="7" max="7" width="17.109375" bestFit="1" customWidth="1"/>
    <col min="8" max="8" width="10.88671875" bestFit="1" customWidth="1"/>
  </cols>
  <sheetData>
    <row r="1" spans="1:8" ht="21" x14ac:dyDescent="0.4">
      <c r="A1" s="9" t="s">
        <v>69</v>
      </c>
    </row>
    <row r="2" spans="1:8" x14ac:dyDescent="0.3">
      <c r="A2" t="s">
        <v>70</v>
      </c>
    </row>
    <row r="4" spans="1:8" x14ac:dyDescent="0.3">
      <c r="A4" s="38" t="s">
        <v>6</v>
      </c>
      <c r="B4" s="38" t="s">
        <v>7</v>
      </c>
      <c r="C4" s="38" t="s">
        <v>8</v>
      </c>
      <c r="D4" s="38" t="s">
        <v>9</v>
      </c>
      <c r="E4" s="38" t="s">
        <v>10</v>
      </c>
      <c r="G4" s="38" t="s">
        <v>11</v>
      </c>
      <c r="H4" s="38" t="s">
        <v>12</v>
      </c>
    </row>
    <row r="5" spans="1:8" x14ac:dyDescent="0.3">
      <c r="A5">
        <v>1</v>
      </c>
      <c r="B5">
        <v>649918.78</v>
      </c>
      <c r="G5" t="s">
        <v>13</v>
      </c>
      <c r="H5" s="8">
        <f>_xlfn.FORECAST.ETS.STAT($B$5:$B$66,$A$5:$A$66,1,1,1)</f>
        <v>2E-3</v>
      </c>
    </row>
    <row r="6" spans="1:8" x14ac:dyDescent="0.3">
      <c r="A6">
        <v>2</v>
      </c>
      <c r="B6">
        <v>891098.3</v>
      </c>
      <c r="G6" t="s">
        <v>14</v>
      </c>
      <c r="H6" s="8">
        <f>_xlfn.FORECAST.ETS.STAT($B$5:$B$66,$A$5:$A$66,2,1,1)</f>
        <v>1E-3</v>
      </c>
    </row>
    <row r="7" spans="1:8" x14ac:dyDescent="0.3">
      <c r="A7">
        <v>3</v>
      </c>
      <c r="B7">
        <v>338407.36</v>
      </c>
      <c r="G7" t="s">
        <v>15</v>
      </c>
      <c r="H7" s="8">
        <f>_xlfn.FORECAST.ETS.STAT($B$5:$B$66,$A$5:$A$66,3,1,1)</f>
        <v>2.2204460492503131E-16</v>
      </c>
    </row>
    <row r="8" spans="1:8" x14ac:dyDescent="0.3">
      <c r="A8">
        <v>4</v>
      </c>
      <c r="B8">
        <v>110591.63</v>
      </c>
      <c r="G8" t="s">
        <v>16</v>
      </c>
      <c r="H8" s="8">
        <f>_xlfn.FORECAST.ETS.STAT($B$5:$B$66,$A$5:$A$66,4,1,1)</f>
        <v>2.2647329906694078</v>
      </c>
    </row>
    <row r="9" spans="1:8" x14ac:dyDescent="0.3">
      <c r="A9">
        <v>5</v>
      </c>
      <c r="B9">
        <v>595986.18000000005</v>
      </c>
      <c r="G9" t="s">
        <v>17</v>
      </c>
      <c r="H9" s="8">
        <f>_xlfn.FORECAST.ETS.STAT($B$5:$B$66,$A$5:$A$66,5,1,1)</f>
        <v>0.81410631794336752</v>
      </c>
    </row>
    <row r="10" spans="1:8" x14ac:dyDescent="0.3">
      <c r="A10">
        <v>6</v>
      </c>
      <c r="B10">
        <v>518585.28</v>
      </c>
      <c r="G10" t="s">
        <v>18</v>
      </c>
      <c r="H10" s="8">
        <f>_xlfn.FORECAST.ETS.STAT($B$5:$B$66,$A$5:$A$66,6,1,1)</f>
        <v>686423.7094784209</v>
      </c>
    </row>
    <row r="11" spans="1:8" x14ac:dyDescent="0.3">
      <c r="A11">
        <v>7</v>
      </c>
      <c r="B11">
        <v>454959.83</v>
      </c>
      <c r="G11" t="s">
        <v>19</v>
      </c>
      <c r="H11" s="8">
        <f>_xlfn.FORECAST.ETS.STAT($B$5:$B$66,$A$5:$A$66,7,1,1)</f>
        <v>731288.83573381184</v>
      </c>
    </row>
    <row r="12" spans="1:8" x14ac:dyDescent="0.3">
      <c r="A12">
        <v>8</v>
      </c>
      <c r="B12">
        <v>547512.68999999994</v>
      </c>
    </row>
    <row r="13" spans="1:8" x14ac:dyDescent="0.3">
      <c r="A13">
        <v>9</v>
      </c>
      <c r="B13">
        <v>567421.12</v>
      </c>
    </row>
    <row r="14" spans="1:8" x14ac:dyDescent="0.3">
      <c r="A14">
        <v>10</v>
      </c>
      <c r="B14">
        <v>623959.56999999995</v>
      </c>
    </row>
    <row r="15" spans="1:8" x14ac:dyDescent="0.3">
      <c r="A15">
        <v>11</v>
      </c>
      <c r="B15">
        <v>649949.36</v>
      </c>
    </row>
    <row r="16" spans="1:8" x14ac:dyDescent="0.3">
      <c r="A16">
        <v>12</v>
      </c>
      <c r="B16">
        <v>998403.46</v>
      </c>
    </row>
    <row r="17" spans="1:2" x14ac:dyDescent="0.3">
      <c r="A17">
        <v>13</v>
      </c>
      <c r="B17">
        <v>670114.80000000005</v>
      </c>
    </row>
    <row r="18" spans="1:2" x14ac:dyDescent="0.3">
      <c r="A18">
        <v>14</v>
      </c>
      <c r="B18">
        <v>750526.19</v>
      </c>
    </row>
    <row r="19" spans="1:2" x14ac:dyDescent="0.3">
      <c r="A19">
        <v>15</v>
      </c>
      <c r="B19">
        <v>331248.59000000003</v>
      </c>
    </row>
    <row r="20" spans="1:2" x14ac:dyDescent="0.3">
      <c r="A20">
        <v>16</v>
      </c>
      <c r="B20">
        <v>58580.07</v>
      </c>
    </row>
    <row r="21" spans="1:2" x14ac:dyDescent="0.3">
      <c r="A21">
        <v>17</v>
      </c>
      <c r="B21">
        <v>616258.96</v>
      </c>
    </row>
    <row r="22" spans="1:2" x14ac:dyDescent="0.3">
      <c r="A22">
        <v>18</v>
      </c>
      <c r="B22">
        <v>631731.30000000005</v>
      </c>
    </row>
    <row r="23" spans="1:2" x14ac:dyDescent="0.3">
      <c r="A23">
        <v>19</v>
      </c>
      <c r="B23">
        <v>511786.72</v>
      </c>
    </row>
    <row r="24" spans="1:2" x14ac:dyDescent="0.3">
      <c r="A24">
        <v>20</v>
      </c>
      <c r="B24">
        <v>593379.05000000005</v>
      </c>
    </row>
    <row r="25" spans="1:2" x14ac:dyDescent="0.3">
      <c r="A25">
        <v>21</v>
      </c>
      <c r="B25">
        <v>686375.1</v>
      </c>
    </row>
    <row r="26" spans="1:2" x14ac:dyDescent="0.3">
      <c r="A26">
        <v>22</v>
      </c>
      <c r="B26">
        <v>628521.43000000005</v>
      </c>
    </row>
    <row r="27" spans="1:2" x14ac:dyDescent="0.3">
      <c r="A27">
        <v>23</v>
      </c>
      <c r="B27">
        <v>655722.99</v>
      </c>
    </row>
    <row r="28" spans="1:2" x14ac:dyDescent="0.3">
      <c r="A28">
        <v>24</v>
      </c>
      <c r="B28">
        <v>1287177.07</v>
      </c>
    </row>
    <row r="29" spans="1:2" x14ac:dyDescent="0.3">
      <c r="A29">
        <v>25</v>
      </c>
      <c r="B29">
        <v>917075.35</v>
      </c>
    </row>
    <row r="30" spans="1:2" x14ac:dyDescent="0.3">
      <c r="A30">
        <v>26</v>
      </c>
      <c r="B30">
        <v>1344342.7</v>
      </c>
    </row>
    <row r="31" spans="1:2" x14ac:dyDescent="0.3">
      <c r="A31">
        <v>27</v>
      </c>
      <c r="B31">
        <v>434951.15</v>
      </c>
    </row>
    <row r="32" spans="1:2" x14ac:dyDescent="0.3">
      <c r="A32">
        <v>28</v>
      </c>
      <c r="B32">
        <v>70627.539999999994</v>
      </c>
    </row>
    <row r="33" spans="1:2" x14ac:dyDescent="0.3">
      <c r="A33">
        <v>29</v>
      </c>
      <c r="B33">
        <v>1073265.56</v>
      </c>
    </row>
    <row r="34" spans="1:2" x14ac:dyDescent="0.3">
      <c r="A34">
        <v>30</v>
      </c>
      <c r="B34">
        <v>973975.33</v>
      </c>
    </row>
    <row r="35" spans="1:2" x14ac:dyDescent="0.3">
      <c r="A35">
        <v>31</v>
      </c>
      <c r="B35">
        <v>964149.46</v>
      </c>
    </row>
    <row r="36" spans="1:2" x14ac:dyDescent="0.3">
      <c r="A36">
        <v>32</v>
      </c>
      <c r="B36">
        <v>1026845.73</v>
      </c>
    </row>
    <row r="37" spans="1:2" x14ac:dyDescent="0.3">
      <c r="A37">
        <v>33</v>
      </c>
      <c r="B37">
        <v>1181765.1399999999</v>
      </c>
    </row>
    <row r="38" spans="1:2" x14ac:dyDescent="0.3">
      <c r="A38">
        <v>34</v>
      </c>
      <c r="B38">
        <v>1241730.03</v>
      </c>
    </row>
    <row r="39" spans="1:2" x14ac:dyDescent="0.3">
      <c r="A39">
        <v>35</v>
      </c>
      <c r="B39">
        <v>1478026.63</v>
      </c>
    </row>
    <row r="40" spans="1:2" x14ac:dyDescent="0.3">
      <c r="A40">
        <v>36</v>
      </c>
      <c r="B40">
        <v>2082206.04</v>
      </c>
    </row>
    <row r="41" spans="1:2" x14ac:dyDescent="0.3">
      <c r="A41">
        <v>37</v>
      </c>
      <c r="B41">
        <v>1940899.57</v>
      </c>
    </row>
    <row r="42" spans="1:2" x14ac:dyDescent="0.3">
      <c r="A42">
        <v>38</v>
      </c>
      <c r="B42">
        <v>2102862.5699999998</v>
      </c>
    </row>
    <row r="43" spans="1:2" x14ac:dyDescent="0.3">
      <c r="A43">
        <v>39</v>
      </c>
      <c r="B43">
        <v>845925.09</v>
      </c>
    </row>
    <row r="44" spans="1:2" x14ac:dyDescent="0.3">
      <c r="A44">
        <v>40</v>
      </c>
      <c r="B44">
        <v>149892.71</v>
      </c>
    </row>
    <row r="45" spans="1:2" x14ac:dyDescent="0.3">
      <c r="A45">
        <v>41</v>
      </c>
      <c r="B45">
        <v>1594446.47</v>
      </c>
    </row>
    <row r="46" spans="1:2" x14ac:dyDescent="0.3">
      <c r="A46">
        <v>42</v>
      </c>
      <c r="B46">
        <v>1404861.4</v>
      </c>
    </row>
    <row r="47" spans="1:2" x14ac:dyDescent="0.3">
      <c r="A47">
        <v>43</v>
      </c>
      <c r="B47">
        <v>1408714.62</v>
      </c>
    </row>
    <row r="48" spans="1:2" x14ac:dyDescent="0.3">
      <c r="A48">
        <v>44</v>
      </c>
      <c r="B48">
        <v>1500784.77</v>
      </c>
    </row>
    <row r="49" spans="1:2" x14ac:dyDescent="0.3">
      <c r="A49">
        <v>45</v>
      </c>
      <c r="B49">
        <v>1547870.73</v>
      </c>
    </row>
    <row r="50" spans="1:2" x14ac:dyDescent="0.3">
      <c r="A50">
        <v>46</v>
      </c>
      <c r="B50">
        <v>1575168.82</v>
      </c>
    </row>
    <row r="51" spans="1:2" x14ac:dyDescent="0.3">
      <c r="A51">
        <v>47</v>
      </c>
      <c r="B51">
        <v>1715659.88</v>
      </c>
    </row>
    <row r="52" spans="1:2" x14ac:dyDescent="0.3">
      <c r="A52">
        <v>48</v>
      </c>
      <c r="B52">
        <v>2477295.85</v>
      </c>
    </row>
    <row r="53" spans="1:2" x14ac:dyDescent="0.3">
      <c r="A53">
        <v>49</v>
      </c>
      <c r="B53">
        <v>2068951.12</v>
      </c>
    </row>
    <row r="54" spans="1:2" x14ac:dyDescent="0.3">
      <c r="A54">
        <v>50</v>
      </c>
      <c r="B54">
        <v>2227379.5699999998</v>
      </c>
    </row>
    <row r="55" spans="1:2" x14ac:dyDescent="0.3">
      <c r="A55">
        <v>51</v>
      </c>
      <c r="B55">
        <v>674990.66</v>
      </c>
    </row>
    <row r="56" spans="1:2" x14ac:dyDescent="0.3">
      <c r="A56">
        <v>52</v>
      </c>
      <c r="B56">
        <v>217642.1</v>
      </c>
    </row>
    <row r="57" spans="1:2" x14ac:dyDescent="0.3">
      <c r="A57">
        <v>53</v>
      </c>
      <c r="B57">
        <v>878026.63</v>
      </c>
    </row>
    <row r="58" spans="1:2" x14ac:dyDescent="0.3">
      <c r="A58">
        <v>54</v>
      </c>
      <c r="B58">
        <v>763883.23</v>
      </c>
    </row>
    <row r="59" spans="1:2" x14ac:dyDescent="0.3">
      <c r="A59">
        <v>55</v>
      </c>
      <c r="B59">
        <v>512805.18</v>
      </c>
    </row>
    <row r="60" spans="1:2" x14ac:dyDescent="0.3">
      <c r="A60">
        <v>56</v>
      </c>
      <c r="B60">
        <v>416647.08</v>
      </c>
    </row>
    <row r="61" spans="1:2" x14ac:dyDescent="0.3">
      <c r="A61">
        <v>57</v>
      </c>
      <c r="B61">
        <v>380431.52</v>
      </c>
    </row>
    <row r="62" spans="1:2" x14ac:dyDescent="0.3">
      <c r="A62">
        <v>58</v>
      </c>
      <c r="B62">
        <v>245647.59</v>
      </c>
    </row>
    <row r="63" spans="1:2" x14ac:dyDescent="0.3">
      <c r="A63">
        <v>59</v>
      </c>
      <c r="B63">
        <v>256701.02</v>
      </c>
    </row>
    <row r="64" spans="1:2" x14ac:dyDescent="0.3">
      <c r="A64">
        <v>60</v>
      </c>
      <c r="B64">
        <v>651526.43999999994</v>
      </c>
    </row>
    <row r="65" spans="1:7" x14ac:dyDescent="0.3">
      <c r="A65">
        <v>61</v>
      </c>
      <c r="B65">
        <v>513021.58</v>
      </c>
    </row>
    <row r="66" spans="1:7" x14ac:dyDescent="0.3">
      <c r="A66">
        <v>62</v>
      </c>
      <c r="B66">
        <v>526266.9</v>
      </c>
      <c r="C66">
        <v>526266.9</v>
      </c>
      <c r="D66" s="6">
        <v>526266.9</v>
      </c>
      <c r="E66" s="6">
        <v>526266.9</v>
      </c>
    </row>
    <row r="67" spans="1:7" x14ac:dyDescent="0.3">
      <c r="A67">
        <v>63</v>
      </c>
      <c r="C67">
        <f t="shared" ref="C67:C78" si="0">_xlfn.FORECAST.ETS(A67,$B$5:$B$66,$A$5:$A$66,1,1)</f>
        <v>1218834.3721551797</v>
      </c>
      <c r="D67" s="6">
        <f t="shared" ref="D67:D78" si="1">C67-_xlfn.FORECAST.ETS.CONFINT(A67,$B$5:$B$66,$A$5:$A$66,0.95,1,1)</f>
        <v>85934.483010561438</v>
      </c>
      <c r="E67" s="6">
        <f t="shared" ref="E67:E78" si="2">C67+_xlfn.FORECAST.ETS.CONFINT(A67,$B$5:$B$66,$A$5:$A$66,0.95,1,1)</f>
        <v>2351734.2612997983</v>
      </c>
    </row>
    <row r="68" spans="1:7" x14ac:dyDescent="0.3">
      <c r="A68">
        <v>64</v>
      </c>
      <c r="C68">
        <f t="shared" si="0"/>
        <v>1228354.6653142003</v>
      </c>
      <c r="D68" s="6">
        <f t="shared" si="1"/>
        <v>95449.678131551482</v>
      </c>
      <c r="E68" s="6">
        <f t="shared" si="2"/>
        <v>2361259.6524968492</v>
      </c>
    </row>
    <row r="69" spans="1:7" x14ac:dyDescent="0.3">
      <c r="A69">
        <v>65</v>
      </c>
      <c r="C69">
        <f t="shared" si="0"/>
        <v>1237874.9584732198</v>
      </c>
      <c r="D69" s="6">
        <f t="shared" si="1"/>
        <v>104960.90816849377</v>
      </c>
      <c r="E69" s="6">
        <f t="shared" si="2"/>
        <v>2370789.0087779458</v>
      </c>
    </row>
    <row r="70" spans="1:7" x14ac:dyDescent="0.3">
      <c r="A70">
        <v>66</v>
      </c>
      <c r="C70">
        <f t="shared" si="0"/>
        <v>1247395.2516322404</v>
      </c>
      <c r="D70" s="6">
        <f t="shared" si="1"/>
        <v>114467.04034441593</v>
      </c>
      <c r="E70" s="6">
        <f t="shared" si="2"/>
        <v>2380323.462920065</v>
      </c>
    </row>
    <row r="71" spans="1:7" x14ac:dyDescent="0.3">
      <c r="A71">
        <v>67</v>
      </c>
      <c r="C71">
        <f t="shared" si="0"/>
        <v>1256915.54479126</v>
      </c>
      <c r="D71" s="6">
        <f t="shared" si="1"/>
        <v>123966.94199872948</v>
      </c>
      <c r="E71" s="6">
        <f t="shared" si="2"/>
        <v>2389864.1475837906</v>
      </c>
    </row>
    <row r="72" spans="1:7" x14ac:dyDescent="0.3">
      <c r="A72">
        <v>68</v>
      </c>
      <c r="C72">
        <f t="shared" si="0"/>
        <v>1266435.8379502806</v>
      </c>
      <c r="D72" s="6">
        <f t="shared" si="1"/>
        <v>133459.48064385843</v>
      </c>
      <c r="E72" s="6">
        <f t="shared" si="2"/>
        <v>2399412.1952567026</v>
      </c>
    </row>
    <row r="73" spans="1:7" x14ac:dyDescent="0.3">
      <c r="A73">
        <v>69</v>
      </c>
      <c r="C73">
        <f t="shared" si="0"/>
        <v>1275956.1311093003</v>
      </c>
      <c r="D73" s="6">
        <f t="shared" si="1"/>
        <v>142943.52403315017</v>
      </c>
      <c r="E73" s="6">
        <f t="shared" si="2"/>
        <v>2408968.7381854504</v>
      </c>
    </row>
    <row r="74" spans="1:7" x14ac:dyDescent="0.3">
      <c r="A74">
        <v>70</v>
      </c>
      <c r="C74">
        <f t="shared" si="0"/>
        <v>1285476.4242683207</v>
      </c>
      <c r="D74" s="6">
        <f t="shared" si="1"/>
        <v>152417.94024008699</v>
      </c>
      <c r="E74" s="6">
        <f t="shared" si="2"/>
        <v>2418534.9082965543</v>
      </c>
    </row>
    <row r="75" spans="1:7" x14ac:dyDescent="0.3">
      <c r="A75">
        <v>71</v>
      </c>
      <c r="C75">
        <f t="shared" si="0"/>
        <v>1294996.7174273403</v>
      </c>
      <c r="D75" s="6">
        <f t="shared" si="1"/>
        <v>161881.59774874314</v>
      </c>
      <c r="E75" s="6">
        <f t="shared" si="2"/>
        <v>2428111.8371059373</v>
      </c>
    </row>
    <row r="76" spans="1:7" x14ac:dyDescent="0.3">
      <c r="A76">
        <v>72</v>
      </c>
      <c r="C76">
        <f t="shared" si="0"/>
        <v>1304517.0105863609</v>
      </c>
      <c r="D76" s="6">
        <f t="shared" si="1"/>
        <v>171333.36555548618</v>
      </c>
      <c r="E76" s="6">
        <f t="shared" si="2"/>
        <v>2437700.6556172357</v>
      </c>
    </row>
    <row r="77" spans="1:7" x14ac:dyDescent="0.3">
      <c r="A77">
        <v>73</v>
      </c>
      <c r="C77">
        <f t="shared" si="0"/>
        <v>1314037.3037453806</v>
      </c>
      <c r="D77" s="6">
        <f t="shared" si="1"/>
        <v>180772.11328185559</v>
      </c>
      <c r="E77" s="6">
        <f t="shared" si="2"/>
        <v>2447302.4942089058</v>
      </c>
    </row>
    <row r="78" spans="1:7" x14ac:dyDescent="0.3">
      <c r="A78">
        <v>74</v>
      </c>
      <c r="C78">
        <f t="shared" si="0"/>
        <v>1323557.5969044012</v>
      </c>
      <c r="D78" s="6">
        <f t="shared" si="1"/>
        <v>190196.71129859774</v>
      </c>
      <c r="E78" s="6">
        <f t="shared" si="2"/>
        <v>2456918.4825102044</v>
      </c>
    </row>
    <row r="79" spans="1:7" x14ac:dyDescent="0.3">
      <c r="F79" s="6"/>
      <c r="G79" s="6"/>
    </row>
    <row r="80" spans="1:7" x14ac:dyDescent="0.3">
      <c r="F80" s="6"/>
    </row>
    <row r="81" spans="1:6" x14ac:dyDescent="0.3">
      <c r="A81" s="49" t="s">
        <v>0</v>
      </c>
      <c r="B81" s="49" t="s">
        <v>59</v>
      </c>
      <c r="C81" s="49" t="s">
        <v>60</v>
      </c>
      <c r="D81" s="49" t="s">
        <v>61</v>
      </c>
      <c r="F81" s="6"/>
    </row>
    <row r="82" spans="1:6" x14ac:dyDescent="0.3">
      <c r="A82" s="13">
        <v>44256</v>
      </c>
      <c r="B82" s="31">
        <f t="shared" ref="B82:B93" si="3">D67*$D$97</f>
        <v>53857.528379768672</v>
      </c>
      <c r="C82" s="31">
        <f t="shared" ref="C82:C93" si="4">C67*$D$97</f>
        <v>763877.36900118995</v>
      </c>
      <c r="D82" s="31">
        <f t="shared" ref="D82:D93" si="5">E67*$D$97</f>
        <v>1473897.2096226113</v>
      </c>
      <c r="E82" s="6"/>
      <c r="F82" s="6"/>
    </row>
    <row r="83" spans="1:6" x14ac:dyDescent="0.3">
      <c r="A83" s="13">
        <v>44287</v>
      </c>
      <c r="B83" s="31">
        <f t="shared" si="3"/>
        <v>59820.965562544014</v>
      </c>
      <c r="C83" s="31">
        <f t="shared" si="4"/>
        <v>769844.00126605912</v>
      </c>
      <c r="D83" s="31">
        <f t="shared" si="5"/>
        <v>1479867.0369695742</v>
      </c>
      <c r="E83" s="6"/>
      <c r="F83" s="6"/>
    </row>
    <row r="84" spans="1:6" x14ac:dyDescent="0.3">
      <c r="A84" s="13">
        <v>44317</v>
      </c>
      <c r="B84" s="31">
        <f t="shared" si="3"/>
        <v>65781.917716968121</v>
      </c>
      <c r="C84" s="31">
        <f t="shared" si="4"/>
        <v>775810.63353092759</v>
      </c>
      <c r="D84" s="31">
        <f t="shared" si="5"/>
        <v>1485839.3493448871</v>
      </c>
      <c r="E84" s="6"/>
      <c r="F84" s="6"/>
    </row>
    <row r="85" spans="1:6" x14ac:dyDescent="0.3">
      <c r="A85" s="13">
        <v>44348</v>
      </c>
      <c r="B85" s="31">
        <f t="shared" si="3"/>
        <v>71739.67490023571</v>
      </c>
      <c r="C85" s="31">
        <f t="shared" si="4"/>
        <v>781777.26579579676</v>
      </c>
      <c r="D85" s="31">
        <f t="shared" si="5"/>
        <v>1491814.8566913579</v>
      </c>
      <c r="E85" s="6"/>
      <c r="F85" s="6"/>
    </row>
    <row r="86" spans="1:6" x14ac:dyDescent="0.3">
      <c r="A86" s="13">
        <v>44378</v>
      </c>
      <c r="B86" s="31">
        <f t="shared" si="3"/>
        <v>77693.527242482567</v>
      </c>
      <c r="C86" s="31">
        <f t="shared" si="4"/>
        <v>787743.89806066535</v>
      </c>
      <c r="D86" s="31">
        <f t="shared" si="5"/>
        <v>1497794.2688788483</v>
      </c>
      <c r="E86" s="6"/>
      <c r="F86" s="6"/>
    </row>
    <row r="87" spans="1:6" x14ac:dyDescent="0.3">
      <c r="A87" s="13">
        <v>44409</v>
      </c>
      <c r="B87" s="31">
        <f t="shared" si="3"/>
        <v>83642.76498227616</v>
      </c>
      <c r="C87" s="31">
        <f t="shared" si="4"/>
        <v>793710.53032553452</v>
      </c>
      <c r="D87" s="31">
        <f t="shared" si="5"/>
        <v>1503778.2956687929</v>
      </c>
      <c r="E87" s="6"/>
      <c r="F87" s="6"/>
    </row>
    <row r="88" spans="1:6" x14ac:dyDescent="0.3">
      <c r="A88" s="13">
        <v>44440</v>
      </c>
      <c r="B88" s="31">
        <f t="shared" si="3"/>
        <v>89586.678509177349</v>
      </c>
      <c r="C88" s="31">
        <f t="shared" si="4"/>
        <v>799677.16259040323</v>
      </c>
      <c r="D88" s="31">
        <f t="shared" si="5"/>
        <v>1509767.646671629</v>
      </c>
      <c r="E88" s="6"/>
      <c r="F88" s="6"/>
    </row>
    <row r="89" spans="1:6" x14ac:dyDescent="0.3">
      <c r="A89" s="13">
        <v>44470</v>
      </c>
      <c r="B89" s="31">
        <f t="shared" si="3"/>
        <v>95524.558413384468</v>
      </c>
      <c r="C89" s="31">
        <f t="shared" si="4"/>
        <v>805643.79485527228</v>
      </c>
      <c r="D89" s="31">
        <f t="shared" si="5"/>
        <v>1515763.0312971601</v>
      </c>
      <c r="E89" s="6"/>
      <c r="F89" s="6"/>
    </row>
    <row r="90" spans="1:6" x14ac:dyDescent="0.3">
      <c r="A90" s="13">
        <v>44501</v>
      </c>
      <c r="B90" s="31">
        <f t="shared" si="3"/>
        <v>101455.69554242518</v>
      </c>
      <c r="C90" s="31">
        <f t="shared" si="4"/>
        <v>811610.42712014087</v>
      </c>
      <c r="D90" s="31">
        <f t="shared" si="5"/>
        <v>1521765.1586978564</v>
      </c>
      <c r="E90" s="6"/>
      <c r="F90" s="6"/>
    </row>
    <row r="91" spans="1:6" x14ac:dyDescent="0.3">
      <c r="A91" s="13">
        <v>44531</v>
      </c>
      <c r="B91" s="31">
        <f t="shared" si="3"/>
        <v>107379.38106489564</v>
      </c>
      <c r="C91" s="31">
        <f t="shared" si="4"/>
        <v>817577.05938501004</v>
      </c>
      <c r="D91" s="31">
        <f t="shared" si="5"/>
        <v>1527774.7377051245</v>
      </c>
      <c r="E91" s="6"/>
    </row>
    <row r="92" spans="1:6" x14ac:dyDescent="0.3">
      <c r="A92" s="13">
        <v>44562</v>
      </c>
      <c r="B92" s="31">
        <f t="shared" si="3"/>
        <v>113294.90654120463</v>
      </c>
      <c r="C92" s="31">
        <f t="shared" si="4"/>
        <v>823543.69164987863</v>
      </c>
      <c r="D92" s="31">
        <f t="shared" si="5"/>
        <v>1533792.4767585527</v>
      </c>
      <c r="E92" s="6"/>
    </row>
    <row r="93" spans="1:6" ht="15" thickBot="1" x14ac:dyDescent="0.35">
      <c r="A93" s="50">
        <v>44593</v>
      </c>
      <c r="B93" s="51">
        <f t="shared" si="3"/>
        <v>119201.56400130966</v>
      </c>
      <c r="C93" s="51">
        <f t="shared" si="4"/>
        <v>829510.3239147478</v>
      </c>
      <c r="D93" s="51">
        <f t="shared" si="5"/>
        <v>1539819.0838281859</v>
      </c>
      <c r="E93" s="6"/>
    </row>
    <row r="94" spans="1:6" x14ac:dyDescent="0.3">
      <c r="A94" s="26" t="s">
        <v>66</v>
      </c>
      <c r="B94" s="35">
        <f>SUM(B82:B93)</f>
        <v>1038979.1628566722</v>
      </c>
      <c r="C94" s="35">
        <f t="shared" ref="C94:D94" si="6">SUM(C82:C93)</f>
        <v>9560326.1574956253</v>
      </c>
      <c r="D94" s="35">
        <f t="shared" si="6"/>
        <v>18081673.152134579</v>
      </c>
    </row>
    <row r="96" spans="1:6" x14ac:dyDescent="0.3">
      <c r="A96" s="26" t="s">
        <v>76</v>
      </c>
      <c r="D96" s="6">
        <f>AVERAGE(B5:B66)</f>
        <v>899281.92887096771</v>
      </c>
    </row>
    <row r="97" spans="1:4" x14ac:dyDescent="0.3">
      <c r="A97" s="26" t="s">
        <v>75</v>
      </c>
      <c r="B97" s="6"/>
      <c r="D97" s="6">
        <f>AVERAGE(B64:B66)/D96</f>
        <v>0.62672778718118927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104F-5C6D-411C-9F3F-B8BB17F13FE0}">
  <dimension ref="A1:H67"/>
  <sheetViews>
    <sheetView showGridLines="0" zoomScaleNormal="100" workbookViewId="0">
      <selection activeCell="H12" sqref="H12"/>
    </sheetView>
  </sheetViews>
  <sheetFormatPr defaultRowHeight="14.4" x14ac:dyDescent="0.3"/>
  <cols>
    <col min="1" max="1" width="11.21875" style="1" customWidth="1"/>
    <col min="2" max="2" width="11" bestFit="1" customWidth="1"/>
    <col min="3" max="3" width="20" bestFit="1" customWidth="1"/>
    <col min="4" max="4" width="17.77734375" bestFit="1" customWidth="1"/>
    <col min="5" max="5" width="18.6640625" bestFit="1" customWidth="1"/>
    <col min="6" max="6" width="8.77734375" customWidth="1"/>
    <col min="7" max="7" width="10.33203125" bestFit="1" customWidth="1"/>
    <col min="8" max="8" width="18.33203125" bestFit="1" customWidth="1"/>
    <col min="9" max="9" width="16.109375" bestFit="1" customWidth="1"/>
    <col min="13" max="13" width="9.77734375" bestFit="1" customWidth="1"/>
  </cols>
  <sheetData>
    <row r="1" spans="1:8" ht="21" x14ac:dyDescent="0.4">
      <c r="A1" s="53" t="s">
        <v>67</v>
      </c>
      <c r="B1" s="52"/>
      <c r="C1" s="52"/>
      <c r="D1" s="52"/>
      <c r="E1" s="52"/>
    </row>
    <row r="2" spans="1:8" x14ac:dyDescent="0.3">
      <c r="A2" s="55" t="s">
        <v>77</v>
      </c>
    </row>
    <row r="4" spans="1:8" x14ac:dyDescent="0.3">
      <c r="A4" s="54" t="s">
        <v>0</v>
      </c>
      <c r="B4" s="38" t="s">
        <v>5</v>
      </c>
      <c r="C4" s="38" t="s">
        <v>1</v>
      </c>
      <c r="D4" s="38" t="s">
        <v>2</v>
      </c>
      <c r="E4" s="38" t="s">
        <v>3</v>
      </c>
    </row>
    <row r="5" spans="1:8" x14ac:dyDescent="0.3">
      <c r="A5" s="13">
        <v>42370</v>
      </c>
      <c r="B5">
        <f>MONTH(ge_vw_revenue_forecast[[#This Row],[Month]])</f>
        <v>1</v>
      </c>
      <c r="C5">
        <v>649918.78</v>
      </c>
    </row>
    <row r="6" spans="1:8" x14ac:dyDescent="0.3">
      <c r="A6" s="13">
        <v>42401</v>
      </c>
      <c r="B6">
        <v>2</v>
      </c>
      <c r="C6">
        <v>891098.3</v>
      </c>
      <c r="D6">
        <v>649918.78</v>
      </c>
      <c r="E6">
        <v>37.11</v>
      </c>
    </row>
    <row r="7" spans="1:8" x14ac:dyDescent="0.3">
      <c r="A7" s="13">
        <v>42430</v>
      </c>
      <c r="B7">
        <v>3</v>
      </c>
      <c r="C7">
        <v>338407.36</v>
      </c>
      <c r="D7">
        <v>891098.3</v>
      </c>
      <c r="E7">
        <v>-62.02</v>
      </c>
    </row>
    <row r="8" spans="1:8" x14ac:dyDescent="0.3">
      <c r="A8" s="13">
        <v>42461</v>
      </c>
      <c r="B8">
        <v>4</v>
      </c>
      <c r="C8">
        <v>110591.63</v>
      </c>
      <c r="D8">
        <v>338407.36</v>
      </c>
      <c r="E8">
        <v>-67.319999999999993</v>
      </c>
    </row>
    <row r="9" spans="1:8" x14ac:dyDescent="0.3">
      <c r="A9" s="13">
        <v>42491</v>
      </c>
      <c r="B9">
        <v>5</v>
      </c>
      <c r="C9">
        <v>595986.18000000005</v>
      </c>
      <c r="D9">
        <v>110591.63</v>
      </c>
      <c r="E9">
        <v>438.91</v>
      </c>
    </row>
    <row r="10" spans="1:8" x14ac:dyDescent="0.3">
      <c r="A10" s="13">
        <v>42522</v>
      </c>
      <c r="B10">
        <v>6</v>
      </c>
      <c r="C10">
        <v>518585.28</v>
      </c>
      <c r="D10">
        <v>595986.18000000005</v>
      </c>
      <c r="E10">
        <v>-12.99</v>
      </c>
    </row>
    <row r="11" spans="1:8" x14ac:dyDescent="0.3">
      <c r="A11" s="13">
        <v>42552</v>
      </c>
      <c r="B11">
        <v>7</v>
      </c>
      <c r="C11">
        <v>454959.83</v>
      </c>
      <c r="D11">
        <v>518585.28</v>
      </c>
      <c r="E11">
        <v>-12.27</v>
      </c>
    </row>
    <row r="12" spans="1:8" x14ac:dyDescent="0.3">
      <c r="A12" s="13">
        <v>42583</v>
      </c>
      <c r="B12">
        <v>8</v>
      </c>
      <c r="C12">
        <v>547512.68999999994</v>
      </c>
      <c r="D12">
        <v>454959.83</v>
      </c>
      <c r="E12">
        <v>20.34</v>
      </c>
      <c r="H12" t="s">
        <v>78</v>
      </c>
    </row>
    <row r="13" spans="1:8" x14ac:dyDescent="0.3">
      <c r="A13" s="13">
        <v>42614</v>
      </c>
      <c r="B13">
        <v>9</v>
      </c>
      <c r="C13">
        <v>567421.12</v>
      </c>
      <c r="D13">
        <v>547512.68999999994</v>
      </c>
      <c r="E13">
        <v>3.64</v>
      </c>
    </row>
    <row r="14" spans="1:8" x14ac:dyDescent="0.3">
      <c r="A14" s="13">
        <v>42644</v>
      </c>
      <c r="B14">
        <v>10</v>
      </c>
      <c r="C14">
        <v>623959.56999999995</v>
      </c>
      <c r="D14">
        <v>567421.12</v>
      </c>
      <c r="E14">
        <v>9.9600000000000009</v>
      </c>
    </row>
    <row r="15" spans="1:8" x14ac:dyDescent="0.3">
      <c r="A15" s="13">
        <v>42675</v>
      </c>
      <c r="B15">
        <v>11</v>
      </c>
      <c r="C15">
        <v>649949.36</v>
      </c>
      <c r="D15">
        <v>623959.56999999995</v>
      </c>
      <c r="E15">
        <v>4.17</v>
      </c>
    </row>
    <row r="16" spans="1:8" x14ac:dyDescent="0.3">
      <c r="A16" s="13">
        <v>42705</v>
      </c>
      <c r="B16">
        <v>12</v>
      </c>
      <c r="C16">
        <v>998403.46</v>
      </c>
      <c r="D16">
        <v>649949.36</v>
      </c>
      <c r="E16">
        <v>53.61</v>
      </c>
    </row>
    <row r="17" spans="1:5" x14ac:dyDescent="0.3">
      <c r="A17" s="13">
        <v>42736</v>
      </c>
      <c r="B17">
        <v>13</v>
      </c>
      <c r="C17">
        <v>670114.80000000005</v>
      </c>
      <c r="D17">
        <v>998403.46</v>
      </c>
      <c r="E17">
        <v>-32.880000000000003</v>
      </c>
    </row>
    <row r="18" spans="1:5" x14ac:dyDescent="0.3">
      <c r="A18" s="13">
        <v>42767</v>
      </c>
      <c r="B18">
        <v>14</v>
      </c>
      <c r="C18">
        <v>750526.19</v>
      </c>
      <c r="D18">
        <v>670114.80000000005</v>
      </c>
      <c r="E18">
        <v>12</v>
      </c>
    </row>
    <row r="19" spans="1:5" x14ac:dyDescent="0.3">
      <c r="A19" s="13">
        <v>42795</v>
      </c>
      <c r="B19">
        <v>15</v>
      </c>
      <c r="C19">
        <v>331248.59000000003</v>
      </c>
      <c r="D19">
        <v>750526.19</v>
      </c>
      <c r="E19">
        <v>-55.86</v>
      </c>
    </row>
    <row r="20" spans="1:5" x14ac:dyDescent="0.3">
      <c r="A20" s="13">
        <v>42826</v>
      </c>
      <c r="B20">
        <v>16</v>
      </c>
      <c r="C20">
        <v>58580.07</v>
      </c>
      <c r="D20">
        <v>331248.59000000003</v>
      </c>
      <c r="E20">
        <v>-82.32</v>
      </c>
    </row>
    <row r="21" spans="1:5" x14ac:dyDescent="0.3">
      <c r="A21" s="13">
        <v>42856</v>
      </c>
      <c r="B21">
        <v>17</v>
      </c>
      <c r="C21">
        <v>616258.96</v>
      </c>
      <c r="D21">
        <v>58580.07</v>
      </c>
      <c r="E21">
        <v>951.99</v>
      </c>
    </row>
    <row r="22" spans="1:5" x14ac:dyDescent="0.3">
      <c r="A22" s="13">
        <v>42887</v>
      </c>
      <c r="B22">
        <v>18</v>
      </c>
      <c r="C22">
        <v>631731.30000000005</v>
      </c>
      <c r="D22">
        <v>616258.96</v>
      </c>
      <c r="E22">
        <v>2.5099999999999998</v>
      </c>
    </row>
    <row r="23" spans="1:5" x14ac:dyDescent="0.3">
      <c r="A23" s="13">
        <v>42917</v>
      </c>
      <c r="B23">
        <v>19</v>
      </c>
      <c r="C23">
        <v>511786.72</v>
      </c>
      <c r="D23">
        <v>631731.30000000005</v>
      </c>
      <c r="E23">
        <v>-18.989999999999998</v>
      </c>
    </row>
    <row r="24" spans="1:5" x14ac:dyDescent="0.3">
      <c r="A24" s="13">
        <v>42948</v>
      </c>
      <c r="B24">
        <v>20</v>
      </c>
      <c r="C24">
        <v>593379.05000000005</v>
      </c>
      <c r="D24">
        <v>511786.72</v>
      </c>
      <c r="E24">
        <v>15.94</v>
      </c>
    </row>
    <row r="25" spans="1:5" x14ac:dyDescent="0.3">
      <c r="A25" s="13">
        <v>42979</v>
      </c>
      <c r="B25">
        <v>21</v>
      </c>
      <c r="C25">
        <v>686375.1</v>
      </c>
      <c r="D25">
        <v>593379.05000000005</v>
      </c>
      <c r="E25">
        <v>15.67</v>
      </c>
    </row>
    <row r="26" spans="1:5" x14ac:dyDescent="0.3">
      <c r="A26" s="13">
        <v>43009</v>
      </c>
      <c r="B26">
        <v>22</v>
      </c>
      <c r="C26">
        <v>628521.43000000005</v>
      </c>
      <c r="D26">
        <v>686375.1</v>
      </c>
      <c r="E26">
        <v>-8.43</v>
      </c>
    </row>
    <row r="27" spans="1:5" x14ac:dyDescent="0.3">
      <c r="A27" s="13">
        <v>43040</v>
      </c>
      <c r="B27">
        <v>23</v>
      </c>
      <c r="C27">
        <v>655722.99</v>
      </c>
      <c r="D27">
        <v>628521.43000000005</v>
      </c>
      <c r="E27">
        <v>4.33</v>
      </c>
    </row>
    <row r="28" spans="1:5" x14ac:dyDescent="0.3">
      <c r="A28" s="13">
        <v>43070</v>
      </c>
      <c r="B28">
        <v>24</v>
      </c>
      <c r="C28">
        <v>1287177.07</v>
      </c>
      <c r="D28">
        <v>655722.99</v>
      </c>
      <c r="E28">
        <v>96.3</v>
      </c>
    </row>
    <row r="29" spans="1:5" x14ac:dyDescent="0.3">
      <c r="A29" s="13">
        <v>43101</v>
      </c>
      <c r="B29">
        <v>25</v>
      </c>
      <c r="C29">
        <v>917075.35</v>
      </c>
      <c r="D29">
        <v>1287177.07</v>
      </c>
      <c r="E29">
        <v>-28.75</v>
      </c>
    </row>
    <row r="30" spans="1:5" x14ac:dyDescent="0.3">
      <c r="A30" s="13">
        <v>43132</v>
      </c>
      <c r="B30">
        <v>26</v>
      </c>
      <c r="C30">
        <v>1344342.7</v>
      </c>
      <c r="D30">
        <v>917075.35</v>
      </c>
      <c r="E30">
        <v>46.59</v>
      </c>
    </row>
    <row r="31" spans="1:5" x14ac:dyDescent="0.3">
      <c r="A31" s="13">
        <v>43160</v>
      </c>
      <c r="B31">
        <v>27</v>
      </c>
      <c r="C31">
        <v>434951.15</v>
      </c>
      <c r="D31">
        <v>1344342.7</v>
      </c>
      <c r="E31">
        <v>-67.650000000000006</v>
      </c>
    </row>
    <row r="32" spans="1:5" x14ac:dyDescent="0.3">
      <c r="A32" s="13">
        <v>43191</v>
      </c>
      <c r="B32">
        <v>28</v>
      </c>
      <c r="C32">
        <v>70627.539999999994</v>
      </c>
      <c r="D32">
        <v>434951.15</v>
      </c>
      <c r="E32">
        <v>-83.76</v>
      </c>
    </row>
    <row r="33" spans="1:5" x14ac:dyDescent="0.3">
      <c r="A33" s="13">
        <v>43221</v>
      </c>
      <c r="B33">
        <v>29</v>
      </c>
      <c r="C33">
        <v>1073265.56</v>
      </c>
      <c r="D33">
        <v>70627.539999999994</v>
      </c>
      <c r="E33">
        <v>1419.61</v>
      </c>
    </row>
    <row r="34" spans="1:5" x14ac:dyDescent="0.3">
      <c r="A34" s="13">
        <v>43252</v>
      </c>
      <c r="B34">
        <v>30</v>
      </c>
      <c r="C34">
        <v>973975.33</v>
      </c>
      <c r="D34">
        <v>1073265.56</v>
      </c>
      <c r="E34">
        <v>-9.25</v>
      </c>
    </row>
    <row r="35" spans="1:5" x14ac:dyDescent="0.3">
      <c r="A35" s="13">
        <v>43282</v>
      </c>
      <c r="B35">
        <v>31</v>
      </c>
      <c r="C35">
        <v>964149.46</v>
      </c>
      <c r="D35">
        <v>973975.33</v>
      </c>
      <c r="E35">
        <v>-1.01</v>
      </c>
    </row>
    <row r="36" spans="1:5" x14ac:dyDescent="0.3">
      <c r="A36" s="13">
        <v>43313</v>
      </c>
      <c r="B36">
        <v>32</v>
      </c>
      <c r="C36">
        <v>1026845.73</v>
      </c>
      <c r="D36">
        <v>964149.46</v>
      </c>
      <c r="E36">
        <v>6.5</v>
      </c>
    </row>
    <row r="37" spans="1:5" x14ac:dyDescent="0.3">
      <c r="A37" s="13">
        <v>43344</v>
      </c>
      <c r="B37">
        <v>33</v>
      </c>
      <c r="C37">
        <v>1181765.1399999999</v>
      </c>
      <c r="D37">
        <v>1026845.73</v>
      </c>
      <c r="E37">
        <v>15.09</v>
      </c>
    </row>
    <row r="38" spans="1:5" x14ac:dyDescent="0.3">
      <c r="A38" s="13">
        <v>43374</v>
      </c>
      <c r="B38">
        <v>34</v>
      </c>
      <c r="C38">
        <v>1241730.03</v>
      </c>
      <c r="D38">
        <v>1181765.1399999999</v>
      </c>
      <c r="E38">
        <v>5.07</v>
      </c>
    </row>
    <row r="39" spans="1:5" x14ac:dyDescent="0.3">
      <c r="A39" s="13">
        <v>43405</v>
      </c>
      <c r="B39">
        <v>35</v>
      </c>
      <c r="C39">
        <v>1478026.63</v>
      </c>
      <c r="D39">
        <v>1241730.03</v>
      </c>
      <c r="E39">
        <v>19.03</v>
      </c>
    </row>
    <row r="40" spans="1:5" x14ac:dyDescent="0.3">
      <c r="A40" s="13">
        <v>43435</v>
      </c>
      <c r="B40">
        <v>36</v>
      </c>
      <c r="C40">
        <v>2082206.04</v>
      </c>
      <c r="D40">
        <v>1478026.63</v>
      </c>
      <c r="E40">
        <v>40.880000000000003</v>
      </c>
    </row>
    <row r="41" spans="1:5" x14ac:dyDescent="0.3">
      <c r="A41" s="13">
        <v>43466</v>
      </c>
      <c r="B41">
        <v>37</v>
      </c>
      <c r="C41">
        <v>1940899.57</v>
      </c>
      <c r="D41">
        <v>2082206.04</v>
      </c>
      <c r="E41">
        <v>-6.79</v>
      </c>
    </row>
    <row r="42" spans="1:5" x14ac:dyDescent="0.3">
      <c r="A42" s="13">
        <v>43497</v>
      </c>
      <c r="B42">
        <v>38</v>
      </c>
      <c r="C42">
        <v>2102862.5699999998</v>
      </c>
      <c r="D42">
        <v>1940899.57</v>
      </c>
      <c r="E42">
        <v>8.34</v>
      </c>
    </row>
    <row r="43" spans="1:5" x14ac:dyDescent="0.3">
      <c r="A43" s="13">
        <v>43525</v>
      </c>
      <c r="B43">
        <v>39</v>
      </c>
      <c r="C43">
        <v>845925.09</v>
      </c>
      <c r="D43">
        <v>2102862.5699999998</v>
      </c>
      <c r="E43">
        <v>-59.77</v>
      </c>
    </row>
    <row r="44" spans="1:5" x14ac:dyDescent="0.3">
      <c r="A44" s="13">
        <v>43556</v>
      </c>
      <c r="B44">
        <v>40</v>
      </c>
      <c r="C44">
        <v>149892.71</v>
      </c>
      <c r="D44">
        <v>845925.09</v>
      </c>
      <c r="E44">
        <v>-82.28</v>
      </c>
    </row>
    <row r="45" spans="1:5" x14ac:dyDescent="0.3">
      <c r="A45" s="13">
        <v>43586</v>
      </c>
      <c r="B45">
        <v>41</v>
      </c>
      <c r="C45">
        <v>1594446.47</v>
      </c>
      <c r="D45">
        <v>149892.71</v>
      </c>
      <c r="E45">
        <v>963.73</v>
      </c>
    </row>
    <row r="46" spans="1:5" x14ac:dyDescent="0.3">
      <c r="A46" s="13">
        <v>43617</v>
      </c>
      <c r="B46">
        <v>42</v>
      </c>
      <c r="C46">
        <v>1404861.4</v>
      </c>
      <c r="D46">
        <v>1594446.47</v>
      </c>
      <c r="E46">
        <v>-11.89</v>
      </c>
    </row>
    <row r="47" spans="1:5" x14ac:dyDescent="0.3">
      <c r="A47" s="13">
        <v>43647</v>
      </c>
      <c r="B47">
        <v>43</v>
      </c>
      <c r="C47">
        <v>1408714.62</v>
      </c>
      <c r="D47">
        <v>1404861.4</v>
      </c>
      <c r="E47">
        <v>0.27</v>
      </c>
    </row>
    <row r="48" spans="1:5" x14ac:dyDescent="0.3">
      <c r="A48" s="13">
        <v>43678</v>
      </c>
      <c r="B48">
        <v>44</v>
      </c>
      <c r="C48">
        <v>1500784.77</v>
      </c>
      <c r="D48">
        <v>1408714.62</v>
      </c>
      <c r="E48">
        <v>6.54</v>
      </c>
    </row>
    <row r="49" spans="1:5" x14ac:dyDescent="0.3">
      <c r="A49" s="13">
        <v>43709</v>
      </c>
      <c r="B49">
        <v>45</v>
      </c>
      <c r="C49">
        <v>1547870.73</v>
      </c>
      <c r="D49">
        <v>1500784.77</v>
      </c>
      <c r="E49">
        <v>3.14</v>
      </c>
    </row>
    <row r="50" spans="1:5" x14ac:dyDescent="0.3">
      <c r="A50" s="13">
        <v>43739</v>
      </c>
      <c r="B50">
        <v>46</v>
      </c>
      <c r="C50">
        <v>1575168.82</v>
      </c>
      <c r="D50">
        <v>1547870.73</v>
      </c>
      <c r="E50">
        <v>1.76</v>
      </c>
    </row>
    <row r="51" spans="1:5" x14ac:dyDescent="0.3">
      <c r="A51" s="13">
        <v>43770</v>
      </c>
      <c r="B51">
        <v>47</v>
      </c>
      <c r="C51">
        <v>1715659.88</v>
      </c>
      <c r="D51">
        <v>1575168.82</v>
      </c>
      <c r="E51">
        <v>8.92</v>
      </c>
    </row>
    <row r="52" spans="1:5" x14ac:dyDescent="0.3">
      <c r="A52" s="13">
        <v>43800</v>
      </c>
      <c r="B52">
        <v>48</v>
      </c>
      <c r="C52">
        <v>2477295.85</v>
      </c>
      <c r="D52">
        <v>1715659.88</v>
      </c>
      <c r="E52">
        <v>44.39</v>
      </c>
    </row>
    <row r="53" spans="1:5" x14ac:dyDescent="0.3">
      <c r="A53" s="13">
        <v>43831</v>
      </c>
      <c r="B53">
        <v>49</v>
      </c>
      <c r="C53">
        <v>2068951.12</v>
      </c>
      <c r="D53">
        <v>2477295.85</v>
      </c>
      <c r="E53">
        <v>-16.48</v>
      </c>
    </row>
    <row r="54" spans="1:5" x14ac:dyDescent="0.3">
      <c r="A54" s="13">
        <v>43862</v>
      </c>
      <c r="B54">
        <v>50</v>
      </c>
      <c r="C54">
        <v>2227379.5699999998</v>
      </c>
      <c r="D54">
        <v>2068951.12</v>
      </c>
      <c r="E54">
        <v>7.66</v>
      </c>
    </row>
    <row r="55" spans="1:5" x14ac:dyDescent="0.3">
      <c r="A55" s="13">
        <v>43891</v>
      </c>
      <c r="B55">
        <v>51</v>
      </c>
      <c r="C55">
        <v>674990.66</v>
      </c>
      <c r="D55">
        <v>2227379.5699999998</v>
      </c>
      <c r="E55">
        <v>-69.7</v>
      </c>
    </row>
    <row r="56" spans="1:5" x14ac:dyDescent="0.3">
      <c r="A56" s="13">
        <v>43922</v>
      </c>
      <c r="B56">
        <v>52</v>
      </c>
      <c r="C56">
        <v>217642.1</v>
      </c>
      <c r="D56">
        <v>674990.66</v>
      </c>
      <c r="E56">
        <v>-67.760000000000005</v>
      </c>
    </row>
    <row r="57" spans="1:5" x14ac:dyDescent="0.3">
      <c r="A57" s="13">
        <v>43952</v>
      </c>
      <c r="B57">
        <v>53</v>
      </c>
      <c r="C57">
        <v>878026.63</v>
      </c>
      <c r="D57">
        <v>217642.1</v>
      </c>
      <c r="E57">
        <v>303.43</v>
      </c>
    </row>
    <row r="58" spans="1:5" x14ac:dyDescent="0.3">
      <c r="A58" s="13">
        <v>43983</v>
      </c>
      <c r="B58">
        <v>54</v>
      </c>
      <c r="C58">
        <v>763883.23</v>
      </c>
      <c r="D58">
        <v>878026.63</v>
      </c>
      <c r="E58">
        <v>-13</v>
      </c>
    </row>
    <row r="59" spans="1:5" x14ac:dyDescent="0.3">
      <c r="A59" s="13">
        <v>44013</v>
      </c>
      <c r="B59">
        <v>55</v>
      </c>
      <c r="C59">
        <v>512805.18</v>
      </c>
      <c r="D59">
        <v>763883.23</v>
      </c>
      <c r="E59">
        <v>-32.869999999999997</v>
      </c>
    </row>
    <row r="60" spans="1:5" x14ac:dyDescent="0.3">
      <c r="A60" s="13">
        <v>44044</v>
      </c>
      <c r="B60">
        <v>56</v>
      </c>
      <c r="C60">
        <v>416647.08</v>
      </c>
      <c r="D60">
        <v>512805.18</v>
      </c>
      <c r="E60">
        <v>-18.75</v>
      </c>
    </row>
    <row r="61" spans="1:5" x14ac:dyDescent="0.3">
      <c r="A61" s="13">
        <v>44075</v>
      </c>
      <c r="B61">
        <v>57</v>
      </c>
      <c r="C61">
        <v>380431.52</v>
      </c>
      <c r="D61">
        <v>416647.08</v>
      </c>
      <c r="E61">
        <v>-8.69</v>
      </c>
    </row>
    <row r="62" spans="1:5" x14ac:dyDescent="0.3">
      <c r="A62" s="13">
        <v>44105</v>
      </c>
      <c r="B62">
        <v>58</v>
      </c>
      <c r="C62">
        <v>245647.59</v>
      </c>
      <c r="D62">
        <v>380431.52</v>
      </c>
      <c r="E62">
        <v>-35.43</v>
      </c>
    </row>
    <row r="63" spans="1:5" x14ac:dyDescent="0.3">
      <c r="A63" s="13">
        <v>44136</v>
      </c>
      <c r="B63">
        <v>59</v>
      </c>
      <c r="C63">
        <v>256701.02</v>
      </c>
      <c r="D63">
        <v>245647.59</v>
      </c>
      <c r="E63">
        <v>4.5</v>
      </c>
    </row>
    <row r="64" spans="1:5" x14ac:dyDescent="0.3">
      <c r="A64" s="13">
        <v>44166</v>
      </c>
      <c r="B64">
        <v>60</v>
      </c>
      <c r="C64">
        <v>651526.43999999994</v>
      </c>
      <c r="D64">
        <v>256701.02</v>
      </c>
      <c r="E64">
        <v>153.81</v>
      </c>
    </row>
    <row r="65" spans="1:5" x14ac:dyDescent="0.3">
      <c r="A65" s="56">
        <v>44197</v>
      </c>
      <c r="B65">
        <v>61</v>
      </c>
      <c r="C65" s="2">
        <v>513021.58</v>
      </c>
      <c r="D65" s="2">
        <v>651526.43999999994</v>
      </c>
      <c r="E65" s="2">
        <v>-21.26</v>
      </c>
    </row>
    <row r="66" spans="1:5" x14ac:dyDescent="0.3">
      <c r="A66" s="57">
        <v>44228</v>
      </c>
      <c r="B66">
        <v>62</v>
      </c>
      <c r="C66" s="7">
        <v>526266.9</v>
      </c>
      <c r="D66" s="7">
        <v>513021.58</v>
      </c>
      <c r="E66" s="7">
        <v>2.58</v>
      </c>
    </row>
    <row r="67" spans="1:5" x14ac:dyDescent="0.3">
      <c r="B67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9DC937-6CC3-4DE0-B0F5-475038C6A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Assumptions</vt:lpstr>
      <vt:lpstr>Seasonality</vt:lpstr>
      <vt:lpstr>Forecast Sheet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Cruz</dc:creator>
  <cp:lastModifiedBy>Darren Cruz</cp:lastModifiedBy>
  <dcterms:created xsi:type="dcterms:W3CDTF">2026-10-19T12:09:12Z</dcterms:created>
  <dcterms:modified xsi:type="dcterms:W3CDTF">2026-10-21T02:57:20Z</dcterms:modified>
</cp:coreProperties>
</file>